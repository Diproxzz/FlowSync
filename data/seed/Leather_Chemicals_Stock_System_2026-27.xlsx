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Product_Master" sheetId="3" state="visible" r:id="rId5"/>
    <sheet name="Transactions" sheetId="4" state="visible" r:id="rId6"/>
    <sheet name="Stock_Summary" sheetId="5" state="visible" r:id="rId7"/>
    <sheet name="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<sst xmlns="http://schemas.openxmlformats.org/spreadsheetml/2006/main" count="2681" uniqueCount="250">
  <si>
    <t xml:space="preserve">Leather Chemicals Stock System — 2026-27</t>
  </si>
  <si>
    <t xml:space="preserve">Rebuilt from your original 2026-27_Stock.xlsx (one column per chemical, purchases and sales mixed into a wide block per quarter sheet) into the same analysis-ready tidy tables as your other stock workbooks.</t>
  </si>
  <si>
    <t xml:space="preserve">Source file: 2026-27_Stock.xlsx — sheets '1sr qtr 26-27' and '2nd qtr 26-27'</t>
  </si>
  <si>
    <t xml:space="preserve">How this workbook is organised</t>
  </si>
  <si>
    <t xml:space="preserve">1. Product_Master  — one row per chemical (55 products): Opening Stock is the 'Stock as 01.04.2026' figure from the source (start of FY26-27), Packing Size, and the latest Purchase &amp; Sale rate found in the source. These are your INPUT cells (blue text) — edit rates here, everything downstream updates.</t>
  </si>
  <si>
    <t xml:space="preserve">2. Transactions     — every purchase, sale and adjustment line from both quarter sheets (601 rows: 524 from Q1 26-27 + 77 from Q2 26-27), formatted as an Excel Table. Q2 26-27 only runs through 16 Jul 2026, matching how far your source sheet had been filled in when this file was generated — keep adding new rows at the bottom as you buy/sell.</t>
  </si>
  <si>
    <t xml:space="preserve">3. Stock_Summary    — one row per product, fully formula-driven (SUMIFS off the Transactions table): Opening + Purchases − Sales − Adjustments = Closing Stock, plus stock value &amp; sales value, across the whole file.</t>
  </si>
  <si>
    <t xml:space="preserve">4. Dashboard        — KPI cards pulled live from Stock_Summary.</t>
  </si>
  <si>
    <t xml:space="preserve">Data-quality notes (source data reproduced as-is, not corrected)</t>
  </si>
  <si>
    <t xml:space="preserve">• Each source sheet ended with a single 'Adj' line carrying a net correction per product (11 products in Q1 26-27, none yet recorded in Q2 26-27). These are kept as Type = Adjustment transactions, undated, exactly as entered in the source. Every product's Opening + Purchases − Sales − Adjustments reconciles exactly to the 'Stock as on &lt;date&gt;' figure printed in the source sheet — the conversion was verified line by line.</t>
  </si>
  <si>
    <t xml:space="preserve">• A handful of source rows had no date filled in (15 rows) — these are kept with a blank Date, exactly as in the source.</t>
  </si>
  <si>
    <t xml:space="preserve">• Six Q2 26-27 sale rows are dated '09.07.29' in the source (likely a typo for '09.07.26') — reproduced as written; you may want to correct the year at source.</t>
  </si>
  <si>
    <t xml:space="preserve">• Product 'ZnO' first appears in this file with no opening stock recorded — treated as 0.</t>
  </si>
  <si>
    <t xml:space="preserve">• Product 'KI' has a non-numeric Sale Rate in the source ('86/125') — left blank in Product_Master rather than guessed; fill in the correct single rate if you'd like Sales Value to include it.</t>
  </si>
  <si>
    <t xml:space="preserve">Rules to keep it clean</t>
  </si>
  <si>
    <t xml:space="preserve">• Never type numbers straight into Stock_Summary or Dashboard — those are formulas.</t>
  </si>
  <si>
    <t xml:space="preserve">• Always add new activity as a new row in Transactions, never as a new column.</t>
  </si>
  <si>
    <t xml:space="preserve">• Use the Type column values exactly: Purchase, Sale, or Adjustment.</t>
  </si>
  <si>
    <t xml:space="preserve">5. Analysis          — ABC/Pareto, margin, turnover &amp; dead-stock analysis per product, plus customer concentration, supplier volume and seasonality by quarter. All formula-driven off Transactions.</t>
  </si>
  <si>
    <t xml:space="preserve">Transactions now has an added "Est. Value (Rs)" column (I) — a formula estimating each row's value using the product's CURRENT rate in Product_Master. This powers the Analysis sheet's value-based tables; treat it as indicative, not exact invoice value, since historical per-transaction prices aren't stored.</t>
  </si>
  <si>
    <t xml:space="preserve">Charts added: on the Analysis sheet — a Pareto chart (Sales Value + Cumulative %) and a Turnover-vs-Margin scatter and a Closing-Stock-vs-Sales bar for products (next to Section 1); a Top-15-customers bar and a Top-5-vs-Others donut (next to Section 2). On the Dashboard — a Low Stock Alerts table and chart showing shortfall vs Reorder Level (fill in Reorder Level in Product_Master to activate it).</t>
  </si>
  <si>
    <t xml:space="preserve">Total Stock Value (Rs)</t>
  </si>
  <si>
    <t xml:space="preserve">Total Sales Value (Rs)</t>
  </si>
  <si>
    <t xml:space="preserve">Total Closing Stock (kg)</t>
  </si>
  <si>
    <t xml:space="preserve">Products Low on Stock</t>
  </si>
  <si>
    <t xml:space="preserve">Low Stock Alerts</t>
  </si>
  <si>
    <t xml:space="preserve">Shows how far each product is below its Reorder Level (Product_Master). Currently blank until you fill in Reorder Levels — the table &amp; chart activate automatically once you do.</t>
  </si>
  <si>
    <t xml:space="preserve">Product</t>
  </si>
  <si>
    <t xml:space="preserve">Shortfall (kg)</t>
  </si>
  <si>
    <t xml:space="preserve">Rank</t>
  </si>
  <si>
    <t xml:space="preserve">Reorder Level (kg)</t>
  </si>
  <si>
    <t xml:space="preserve">Closing Stock (kg)</t>
  </si>
  <si>
    <t xml:space="preserve">Product Code</t>
  </si>
  <si>
    <t xml:space="preserve">Category</t>
  </si>
  <si>
    <t xml:space="preserve">Opening Stock (kg)</t>
  </si>
  <si>
    <t xml:space="preserve">Packing Size (kg/drum)</t>
  </si>
  <si>
    <t xml:space="preserve">Purchase Rate (Rs/kg)</t>
  </si>
  <si>
    <t xml:space="preserve">Sale Rate (Rs/kg)</t>
  </si>
  <si>
    <t xml:space="preserve">KG</t>
  </si>
  <si>
    <t xml:space="preserve">AA</t>
  </si>
  <si>
    <t xml:space="preserve">WAK</t>
  </si>
  <si>
    <t xml:space="preserve">SNA</t>
  </si>
  <si>
    <t xml:space="preserve">SBL</t>
  </si>
  <si>
    <t xml:space="preserve">XAC</t>
  </si>
  <si>
    <t xml:space="preserve">WFAT</t>
  </si>
  <si>
    <t xml:space="preserve">SUL</t>
  </si>
  <si>
    <t xml:space="preserve">KR</t>
  </si>
  <si>
    <t xml:space="preserve">G1</t>
  </si>
  <si>
    <t xml:space="preserve">G2</t>
  </si>
  <si>
    <t xml:space="preserve">Silcoat</t>
  </si>
  <si>
    <t xml:space="preserve">TiO2</t>
  </si>
  <si>
    <t xml:space="preserve">TiO2 R</t>
  </si>
  <si>
    <t xml:space="preserve">ZnO</t>
  </si>
  <si>
    <t xml:space="preserve">CRTI</t>
  </si>
  <si>
    <t xml:space="preserve">ACT.A</t>
  </si>
  <si>
    <t xml:space="preserve">Act. Conc</t>
  </si>
  <si>
    <t xml:space="preserve">DB</t>
  </si>
  <si>
    <t xml:space="preserve">RM</t>
  </si>
  <si>
    <t xml:space="preserve">AW</t>
  </si>
  <si>
    <t xml:space="preserve">NSA</t>
  </si>
  <si>
    <t xml:space="preserve">RU</t>
  </si>
  <si>
    <t xml:space="preserve">OIT 9</t>
  </si>
  <si>
    <t xml:space="preserve">BPR</t>
  </si>
  <si>
    <t xml:space="preserve">AC</t>
  </si>
  <si>
    <t xml:space="preserve">EF</t>
  </si>
  <si>
    <t xml:space="preserve">PBS</t>
  </si>
  <si>
    <t xml:space="preserve">G50</t>
  </si>
  <si>
    <t xml:space="preserve">ECO 6</t>
  </si>
  <si>
    <t xml:space="preserve">FP</t>
  </si>
  <si>
    <t xml:space="preserve">SUM</t>
  </si>
  <si>
    <t xml:space="preserve">DLPS</t>
  </si>
  <si>
    <t xml:space="preserve">ITS</t>
  </si>
  <si>
    <t xml:space="preserve">ACT E</t>
  </si>
  <si>
    <t xml:space="preserve">SBAI</t>
  </si>
  <si>
    <t xml:space="preserve">FI</t>
  </si>
  <si>
    <t xml:space="preserve">C5I</t>
  </si>
  <si>
    <t xml:space="preserve">ALFI</t>
  </si>
  <si>
    <t xml:space="preserve">DCD</t>
  </si>
  <si>
    <t xml:space="preserve">AM</t>
  </si>
  <si>
    <t xml:space="preserve">NHI</t>
  </si>
  <si>
    <t xml:space="preserve">NSCI</t>
  </si>
  <si>
    <t xml:space="preserve">LA</t>
  </si>
  <si>
    <t xml:space="preserve">FCTI</t>
  </si>
  <si>
    <t xml:space="preserve">FCMI</t>
  </si>
  <si>
    <t xml:space="preserve">WTI</t>
  </si>
  <si>
    <t xml:space="preserve">FD</t>
  </si>
  <si>
    <t xml:space="preserve">RPN</t>
  </si>
  <si>
    <t xml:space="preserve">OX90</t>
  </si>
  <si>
    <t xml:space="preserve">RP7</t>
  </si>
  <si>
    <t xml:space="preserve">MDI</t>
  </si>
  <si>
    <t xml:space="preserve">KI</t>
  </si>
  <si>
    <t xml:space="preserve">XNB 900</t>
  </si>
  <si>
    <t xml:space="preserve">CWET</t>
  </si>
  <si>
    <t xml:space="preserve">Txn ID</t>
  </si>
  <si>
    <t xml:space="preserve">Date</t>
  </si>
  <si>
    <t xml:space="preserve">Period</t>
  </si>
  <si>
    <t xml:space="preserve">Type</t>
  </si>
  <si>
    <t xml:space="preserve">Invoice No</t>
  </si>
  <si>
    <t xml:space="preserve">Party</t>
  </si>
  <si>
    <t xml:space="preserve">Qty (kg)</t>
  </si>
  <si>
    <t xml:space="preserve">Est. Value (Rs)</t>
  </si>
  <si>
    <t xml:space="preserve">Q1 26-27</t>
  </si>
  <si>
    <t xml:space="preserve">Sale</t>
  </si>
  <si>
    <t xml:space="preserve">S H W D Enterprise</t>
  </si>
  <si>
    <t xml:space="preserve">Taifa Internatioal</t>
  </si>
  <si>
    <t xml:space="preserve">N N Enterprise</t>
  </si>
  <si>
    <t xml:space="preserve">Dilshad Ahmed &amp; Co</t>
  </si>
  <si>
    <t xml:space="preserve">R P Enterprise</t>
  </si>
  <si>
    <t xml:space="preserve">Labbaik International</t>
  </si>
  <si>
    <t xml:space="preserve">A Z Enterprise</t>
  </si>
  <si>
    <t xml:space="preserve">A H Enterprise</t>
  </si>
  <si>
    <t xml:space="preserve">Purchase</t>
  </si>
  <si>
    <t xml:space="preserve">CLM</t>
  </si>
  <si>
    <t xml:space="preserve">Raju Brothers</t>
  </si>
  <si>
    <t xml:space="preserve">Integrated Supply Chain</t>
  </si>
  <si>
    <t xml:space="preserve">Aaqib Tannery</t>
  </si>
  <si>
    <t xml:space="preserve">Z K Leather Products</t>
  </si>
  <si>
    <t xml:space="preserve">UZAIR ENTERPRISE</t>
  </si>
  <si>
    <t xml:space="preserve">Skyscrapers Chemex Pvt. Ltd</t>
  </si>
  <si>
    <t xml:space="preserve">A A Traders</t>
  </si>
  <si>
    <t xml:space="preserve">Zia Bhai</t>
  </si>
  <si>
    <t xml:space="preserve">Reshmi Leather</t>
  </si>
  <si>
    <t xml:space="preserve">Zen International</t>
  </si>
  <si>
    <t xml:space="preserve">Prasanthi Leather Chem Pvt. Ltd</t>
  </si>
  <si>
    <t xml:space="preserve">G S Enterprise</t>
  </si>
  <si>
    <t xml:space="preserve">Manish Trading Co</t>
  </si>
  <si>
    <t xml:space="preserve">HAMDAAN ENTERPRISE</t>
  </si>
  <si>
    <t xml:space="preserve">Unique International</t>
  </si>
  <si>
    <t xml:space="preserve">Chieh Shing Tannery</t>
  </si>
  <si>
    <t xml:space="preserve">AMS INTERNATIONAL</t>
  </si>
  <si>
    <t xml:space="preserve">Khushi Leather Company</t>
  </si>
  <si>
    <t xml:space="preserve">SHAGUFTA LEATHER</t>
  </si>
  <si>
    <t xml:space="preserve">ATC</t>
  </si>
  <si>
    <t xml:space="preserve">Shaheen Traders</t>
  </si>
  <si>
    <t xml:space="preserve">Mariam Fashions Pvt Ltd</t>
  </si>
  <si>
    <t xml:space="preserve">Kim India Impex</t>
  </si>
  <si>
    <t xml:space="preserve">New Horizons Pvt. Ltd</t>
  </si>
  <si>
    <t xml:space="preserve">Super Tanners</t>
  </si>
  <si>
    <t xml:space="preserve">MSN Finlex</t>
  </si>
  <si>
    <t xml:space="preserve">Noba Leather World</t>
  </si>
  <si>
    <t xml:space="preserve">Bipasha Enterprise</t>
  </si>
  <si>
    <t xml:space="preserve">R S International</t>
  </si>
  <si>
    <t xml:space="preserve">Arihant International</t>
  </si>
  <si>
    <t xml:space="preserve">SHWD Enterprise</t>
  </si>
  <si>
    <t xml:space="preserve">Globus Alexium</t>
  </si>
  <si>
    <t xml:space="preserve">Tiger International</t>
  </si>
  <si>
    <t xml:space="preserve">Maz International</t>
  </si>
  <si>
    <t xml:space="preserve">Abdin Leather Conceria Pvt.Ltd</t>
  </si>
  <si>
    <t xml:space="preserve">Rohan Gloves</t>
  </si>
  <si>
    <t xml:space="preserve">Oceanic Solvant Industries</t>
  </si>
  <si>
    <t xml:space="preserve">La France</t>
  </si>
  <si>
    <t xml:space="preserve">J P Enterprise</t>
  </si>
  <si>
    <t xml:space="preserve">Umar Traders</t>
  </si>
  <si>
    <t xml:space="preserve">Sip Shing Tannery</t>
  </si>
  <si>
    <t xml:space="preserve">Delhi Colour Chem</t>
  </si>
  <si>
    <t xml:space="preserve">Abdin</t>
  </si>
  <si>
    <t xml:space="preserve">Classic Leather</t>
  </si>
  <si>
    <t xml:space="preserve">Chen Kuo Jung</t>
  </si>
  <si>
    <t xml:space="preserve">Indian Tanning Industries</t>
  </si>
  <si>
    <t xml:space="preserve">Prasanthi Leather Chem</t>
  </si>
  <si>
    <t xml:space="preserve">Rahaman Industries Ltd</t>
  </si>
  <si>
    <t xml:space="preserve">Wasim / 145</t>
  </si>
  <si>
    <t xml:space="preserve">Hafis Gulzar</t>
  </si>
  <si>
    <t xml:space="preserve">Naaz Enterprise</t>
  </si>
  <si>
    <t xml:space="preserve">Hassan Leather</t>
  </si>
  <si>
    <t xml:space="preserve">Hafiz Gulzar</t>
  </si>
  <si>
    <t xml:space="preserve">Dayanidhi Textiles Pvt. Ltd</t>
  </si>
  <si>
    <t xml:space="preserve">Srimani</t>
  </si>
  <si>
    <t xml:space="preserve">Wasim Bhai</t>
  </si>
  <si>
    <t xml:space="preserve">Rahman Industries Ltd</t>
  </si>
  <si>
    <t xml:space="preserve">Faruk Malla</t>
  </si>
  <si>
    <t xml:space="preserve">C B Leather</t>
  </si>
  <si>
    <t xml:space="preserve">SUPER TANNERS</t>
  </si>
  <si>
    <t xml:space="preserve">AMS International</t>
  </si>
  <si>
    <t xml:space="preserve">Prasanthi</t>
  </si>
  <si>
    <t xml:space="preserve">Lakshmi Traders</t>
  </si>
  <si>
    <t xml:space="preserve">ATC/ 372</t>
  </si>
  <si>
    <t xml:space="preserve">ATC/ 373</t>
  </si>
  <si>
    <t xml:space="preserve">New Horizons Pvt Ltd</t>
  </si>
  <si>
    <t xml:space="preserve">Ibrahim Alex</t>
  </si>
  <si>
    <t xml:space="preserve">Good Babu</t>
  </si>
  <si>
    <t xml:space="preserve">R.S International</t>
  </si>
  <si>
    <t xml:space="preserve">R. J. Enterprise</t>
  </si>
  <si>
    <t xml:space="preserve">Aqsa International</t>
  </si>
  <si>
    <t xml:space="preserve">Rahaman Industries</t>
  </si>
  <si>
    <t xml:space="preserve">G. S. Enterprise</t>
  </si>
  <si>
    <t xml:space="preserve">Shagupta Leather</t>
  </si>
  <si>
    <t xml:space="preserve">ATC/491</t>
  </si>
  <si>
    <t xml:space="preserve">Sip Sing Tannery</t>
  </si>
  <si>
    <t xml:space="preserve">Sahid Khan</t>
  </si>
  <si>
    <t xml:space="preserve">Ashraf Tannery</t>
  </si>
  <si>
    <t xml:space="preserve">Heritage Tanners</t>
  </si>
  <si>
    <t xml:space="preserve">Hummad</t>
  </si>
  <si>
    <t xml:space="preserve">Faran Trading Company</t>
  </si>
  <si>
    <t xml:space="preserve">TIGER INTERNATIONAL</t>
  </si>
  <si>
    <t xml:space="preserve">Falak International Impex</t>
  </si>
  <si>
    <t xml:space="preserve">Apcotex Industries Ltd</t>
  </si>
  <si>
    <t xml:space="preserve">Adjustment</t>
  </si>
  <si>
    <t xml:space="preserve">Adj</t>
  </si>
  <si>
    <t xml:space="preserve">Q2 26-27</t>
  </si>
  <si>
    <t xml:space="preserve">AH Tiam Tannery</t>
  </si>
  <si>
    <t xml:space="preserve">Rohan Gloves (mfg) Pvt Ltd</t>
  </si>
  <si>
    <t xml:space="preserve">R R Enterprise</t>
  </si>
  <si>
    <t xml:space="preserve">Dilshad Ahmed &amp; Co.</t>
  </si>
  <si>
    <t xml:space="preserve">S N International</t>
  </si>
  <si>
    <t xml:space="preserve">Sumaiya Leathers</t>
  </si>
  <si>
    <t xml:space="preserve">Wing Sung Tannery</t>
  </si>
  <si>
    <t xml:space="preserve">We Works Chem</t>
  </si>
  <si>
    <t xml:space="preserve">Mariam Fashions</t>
  </si>
  <si>
    <t xml:space="preserve">Import ATC</t>
  </si>
  <si>
    <t xml:space="preserve">R J Enterprise</t>
  </si>
  <si>
    <t xml:space="preserve">Zaib Leder Waren</t>
  </si>
  <si>
    <t xml:space="preserve">Total Purchases (kg)</t>
  </si>
  <si>
    <t xml:space="preserve">Total Sales (kg)</t>
  </si>
  <si>
    <t xml:space="preserve">Adjustments (kg)</t>
  </si>
  <si>
    <t xml:space="preserve">Packing Size (kg)</t>
  </si>
  <si>
    <t xml:space="preserve">No. of Drums</t>
  </si>
  <si>
    <t xml:space="preserve">Stock Value (Rs)</t>
  </si>
  <si>
    <t xml:space="preserve">Sales Value (Rs)</t>
  </si>
  <si>
    <t xml:space="preserve">Status</t>
  </si>
  <si>
    <t xml:space="preserve">TOTAL</t>
  </si>
  <si>
    <t xml:space="preserve">Business Efficiency Analysis</t>
  </si>
  <si>
    <t xml:space="preserve">All tables below are formulas linked to Product_Master, Stock_Summary and Transactions — add new transactions and this sheet updates automatically.</t>
  </si>
  <si>
    <t xml:space="preserve">Note: Sales/Purchase values here are estimates using each product's CURRENT rate in Product_Master (historical per-invoice prices are not stored), so treat Rs figures as indicative, not exact accounting values.</t>
  </si>
  <si>
    <t xml:space="preserve">1. Product Performance — ABC Analysis, Turnover &amp; Margin</t>
  </si>
  <si>
    <t xml:space="preserve">Chart data (sorted by rank) — do not edit</t>
  </si>
  <si>
    <t xml:space="preserve">Sales Rank</t>
  </si>
  <si>
    <t xml:space="preserve">Cumulative %</t>
  </si>
  <si>
    <t xml:space="preserve">ABC Class</t>
  </si>
  <si>
    <t xml:space="preserve">Days Covered</t>
  </si>
  <si>
    <t xml:space="preserve">Days of Stock</t>
  </si>
  <si>
    <t xml:space="preserve">Turnover Ratio</t>
  </si>
  <si>
    <t xml:space="preserve">Margin/kg (Rs)</t>
  </si>
  <si>
    <t xml:space="preserve">Total Margin (Rs)</t>
  </si>
  <si>
    <t xml:space="preserve">Stock Status</t>
  </si>
  <si>
    <t xml:space="preserve">2. Customer Concentration (Sales)</t>
  </si>
  <si>
    <t xml:space="preserve">Chart data — top customers by value (do not edit)</t>
  </si>
  <si>
    <t xml:space="preserve">Customer</t>
  </si>
  <si>
    <t xml:space="preserve">Total Sales Qty (kg)</t>
  </si>
  <si>
    <t xml:space="preserve">Est. Sales Value (Rs)</t>
  </si>
  <si>
    <t xml:space="preserve">% of Total Sales Value</t>
  </si>
  <si>
    <t xml:space="preserve">Segment</t>
  </si>
  <si>
    <t xml:space="preserve">Top 5 Customers</t>
  </si>
  <si>
    <t xml:space="preserve">All Other Customers</t>
  </si>
  <si>
    <t xml:space="preserve">3. Supplier Volume (Purchases)</t>
  </si>
  <si>
    <t xml:space="preserve">Supplier</t>
  </si>
  <si>
    <t xml:space="preserve">Total Purchase Qty (kg)</t>
  </si>
  <si>
    <t xml:space="preserve">Est. Purchase Value (Rs)</t>
  </si>
  <si>
    <t xml:space="preserve">% of Total Purchases</t>
  </si>
  <si>
    <t xml:space="preserve">4. Sales Seasonality by Period (kg)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</si>
</sst>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;\(#,##0\);\-"/>
    <numFmt numFmtId="167" formatCode="dd\-mmm\-yy"/>
    <numFmt numFmtId="168" formatCode="d\-mmm\-yy"/>
    <numFmt numFmtId="169" formatCode="0.0"/>
    <numFmt numFmtId="170" formatCode="General"/>
    <numFmt numFmtId="171" formatCode="0.0%"/>
    <numFmt numFmtId="172" formatCode="0"/>
    <numFmt numFmtId="173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0.5"/>
      <name val="Arial"/>
      <family val="0"/>
      <charset val="1"/>
    </font>
    <font>
      <i val="true"/>
      <sz val="10.5"/>
      <color rgb="FF80808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3FA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EEF3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Stock Shortfall (kg below Reorder 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Dashboard!F55</c:f>
              <c:strCache>
                <c:ptCount val="1"/>
                <c:pt idx="0">
                  <c:v>Shortfall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Dashboard!$C$56:$C$65</c:f>
              <c:strCache>
                <c:ptCount val="10"/>
                <c:pt idx="0">
                  <c:v>KG</c:v>
                </c:pt>
                <c:pt idx="1">
                  <c:v>AA</c:v>
                </c:pt>
                <c:pt idx="2">
                  <c:v>WAK</c:v>
                </c:pt>
                <c:pt idx="3">
                  <c:v>SNA</c:v>
                </c:pt>
                <c:pt idx="4">
                  <c:v>SBL</c:v>
                </c:pt>
                <c:pt idx="5">
                  <c:v>XAC</c:v>
                </c:pt>
                <c:pt idx="6">
                  <c:v>WFAT</c:v>
                </c:pt>
                <c:pt idx="7">
                  <c:v>SUL</c:v>
                </c:pt>
                <c:pt idx="8">
                  <c:v>KR</c:v>
                </c:pt>
                <c:pt idx="9">
                  <c:v>G1</c:v>
                </c:pt>
              </c:strCache>
            </c:strRef>
          </c:cat>
          <c:val>
            <c:numRef>
              <c:f>Dashboard!$F$56:$F$65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6227226"/>
        <c:axId val="33563143"/>
      </c:barChart>
      <c:catAx>
        <c:axId val="8622722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63143"/>
        <c:crosses val="autoZero"/>
        <c:auto val="1"/>
        <c:lblAlgn val="ctr"/>
        <c:lblOffset val="100"/>
        <c:noMultiLvlLbl val="0"/>
      </c:catAx>
      <c:valAx>
        <c:axId val="335631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short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272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Pareto: Sales Value by Product (sorted, with Cumulative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Analysis!R8</c:f>
              <c:strCache>
                <c:ptCount val="1"/>
                <c:pt idx="0">
                  <c:v>Sales Value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Analysis!$Q$9:$Q$63</c:f>
              <c:strCache>
                <c:ptCount val="55"/>
                <c:pt idx="0">
                  <c:v>SBL</c:v>
                </c:pt>
                <c:pt idx="1">
                  <c:v>SNA</c:v>
                </c:pt>
                <c:pt idx="2">
                  <c:v>WAK</c:v>
                </c:pt>
                <c:pt idx="3">
                  <c:v>TiO2</c:v>
                </c:pt>
                <c:pt idx="4">
                  <c:v>SUL</c:v>
                </c:pt>
                <c:pt idx="5">
                  <c:v>XNB 900</c:v>
                </c:pt>
                <c:pt idx="6">
                  <c:v>AW</c:v>
                </c:pt>
                <c:pt idx="7">
                  <c:v>WFAT</c:v>
                </c:pt>
                <c:pt idx="8">
                  <c:v>XAC</c:v>
                </c:pt>
                <c:pt idx="9">
                  <c:v>RU</c:v>
                </c:pt>
                <c:pt idx="10">
                  <c:v>KG</c:v>
                </c:pt>
                <c:pt idx="11">
                  <c:v>CRTI</c:v>
                </c:pt>
                <c:pt idx="12">
                  <c:v>DB</c:v>
                </c:pt>
                <c:pt idx="13">
                  <c:v>Silcoat</c:v>
                </c:pt>
                <c:pt idx="14">
                  <c:v>NSA</c:v>
                </c:pt>
                <c:pt idx="15">
                  <c:v>AA</c:v>
                </c:pt>
                <c:pt idx="16">
                  <c:v>SBAI</c:v>
                </c:pt>
                <c:pt idx="17">
                  <c:v>TiO2 R</c:v>
                </c:pt>
                <c:pt idx="18">
                  <c:v>Act. Conc</c:v>
                </c:pt>
                <c:pt idx="19">
                  <c:v>DLPS</c:v>
                </c:pt>
                <c:pt idx="20">
                  <c:v>ECO 6</c:v>
                </c:pt>
                <c:pt idx="21">
                  <c:v>OIT 9</c:v>
                </c:pt>
                <c:pt idx="22">
                  <c:v>NSCI</c:v>
                </c:pt>
                <c:pt idx="23">
                  <c:v>KR</c:v>
                </c:pt>
                <c:pt idx="24">
                  <c:v>FI</c:v>
                </c:pt>
                <c:pt idx="25">
                  <c:v>RM</c:v>
                </c:pt>
                <c:pt idx="26">
                  <c:v>ALFI</c:v>
                </c:pt>
                <c:pt idx="27">
                  <c:v>C5I</c:v>
                </c:pt>
                <c:pt idx="28">
                  <c:v>ACT.A</c:v>
                </c:pt>
                <c:pt idx="29">
                  <c:v>FP</c:v>
                </c:pt>
                <c:pt idx="30">
                  <c:v>CWET</c:v>
                </c:pt>
                <c:pt idx="31">
                  <c:v>NHI</c:v>
                </c:pt>
                <c:pt idx="32">
                  <c:v>G2</c:v>
                </c:pt>
                <c:pt idx="33">
                  <c:v>FD</c:v>
                </c:pt>
                <c:pt idx="34">
                  <c:v>ACT E</c:v>
                </c:pt>
                <c:pt idx="35">
                  <c:v>WTI</c:v>
                </c:pt>
                <c:pt idx="36">
                  <c:v>G1</c:v>
                </c:pt>
                <c:pt idx="37">
                  <c:v>ZnO</c:v>
                </c:pt>
                <c:pt idx="38">
                  <c:v>BPR</c:v>
                </c:pt>
                <c:pt idx="39">
                  <c:v>AC</c:v>
                </c:pt>
                <c:pt idx="40">
                  <c:v>EF</c:v>
                </c:pt>
                <c:pt idx="41">
                  <c:v>PBS</c:v>
                </c:pt>
                <c:pt idx="42">
                  <c:v>G50</c:v>
                </c:pt>
                <c:pt idx="43">
                  <c:v>SUM</c:v>
                </c:pt>
                <c:pt idx="44">
                  <c:v>ITS</c:v>
                </c:pt>
                <c:pt idx="45">
                  <c:v>DCD</c:v>
                </c:pt>
                <c:pt idx="46">
                  <c:v>AM</c:v>
                </c:pt>
                <c:pt idx="47">
                  <c:v>LA</c:v>
                </c:pt>
                <c:pt idx="48">
                  <c:v>FCTI</c:v>
                </c:pt>
                <c:pt idx="49">
                  <c:v>FCMI</c:v>
                </c:pt>
                <c:pt idx="50">
                  <c:v>RPN</c:v>
                </c:pt>
                <c:pt idx="51">
                  <c:v>OX90</c:v>
                </c:pt>
                <c:pt idx="52">
                  <c:v>RP7</c:v>
                </c:pt>
                <c:pt idx="53">
                  <c:v>MDI</c:v>
                </c:pt>
                <c:pt idx="54">
                  <c:v>KI</c:v>
                </c:pt>
              </c:strCache>
            </c:strRef>
          </c:cat>
          <c:val>
            <c:numRef>
              <c:f>Analysis!$R$9:$R$63</c:f>
              <c:numCache>
                <c:formatCode>#,##0</c:formatCode>
                <c:ptCount val="55"/>
                <c:pt idx="0">
                  <c:v>2731008</c:v>
                </c:pt>
                <c:pt idx="1">
                  <c:v>2190696</c:v>
                </c:pt>
                <c:pt idx="2">
                  <c:v>964104</c:v>
                </c:pt>
                <c:pt idx="3">
                  <c:v>748125</c:v>
                </c:pt>
                <c:pt idx="4">
                  <c:v>593850</c:v>
                </c:pt>
                <c:pt idx="5">
                  <c:v>588600</c:v>
                </c:pt>
                <c:pt idx="6">
                  <c:v>583625</c:v>
                </c:pt>
                <c:pt idx="7">
                  <c:v>446580</c:v>
                </c:pt>
                <c:pt idx="8">
                  <c:v>436480</c:v>
                </c:pt>
                <c:pt idx="9">
                  <c:v>427680</c:v>
                </c:pt>
                <c:pt idx="10">
                  <c:v>384090</c:v>
                </c:pt>
                <c:pt idx="11">
                  <c:v>297500</c:v>
                </c:pt>
                <c:pt idx="12">
                  <c:v>288915</c:v>
                </c:pt>
                <c:pt idx="13">
                  <c:v>266326</c:v>
                </c:pt>
                <c:pt idx="14">
                  <c:v>257150</c:v>
                </c:pt>
                <c:pt idx="15">
                  <c:v>256520</c:v>
                </c:pt>
                <c:pt idx="16">
                  <c:v>231000</c:v>
                </c:pt>
                <c:pt idx="17">
                  <c:v>176391</c:v>
                </c:pt>
                <c:pt idx="18">
                  <c:v>166500</c:v>
                </c:pt>
                <c:pt idx="19">
                  <c:v>165600</c:v>
                </c:pt>
                <c:pt idx="20">
                  <c:v>165000</c:v>
                </c:pt>
                <c:pt idx="21">
                  <c:v>126499.6</c:v>
                </c:pt>
                <c:pt idx="22">
                  <c:v>106080</c:v>
                </c:pt>
                <c:pt idx="23">
                  <c:v>84000</c:v>
                </c:pt>
                <c:pt idx="24">
                  <c:v>76000</c:v>
                </c:pt>
                <c:pt idx="25">
                  <c:v>72450</c:v>
                </c:pt>
                <c:pt idx="26">
                  <c:v>44100</c:v>
                </c:pt>
                <c:pt idx="27">
                  <c:v>42300</c:v>
                </c:pt>
                <c:pt idx="28">
                  <c:v>31000</c:v>
                </c:pt>
                <c:pt idx="29">
                  <c:v>25000</c:v>
                </c:pt>
                <c:pt idx="30">
                  <c:v>18130</c:v>
                </c:pt>
                <c:pt idx="31">
                  <c:v>18000</c:v>
                </c:pt>
                <c:pt idx="32">
                  <c:v>13000</c:v>
                </c:pt>
                <c:pt idx="33">
                  <c:v>3000</c:v>
                </c:pt>
                <c:pt idx="34">
                  <c:v>2550</c:v>
                </c:pt>
                <c:pt idx="35">
                  <c:v>314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</c:ser>
        <c:gapWidth val="150"/>
        <c:overlap val="0"/>
        <c:axId val="2522417"/>
        <c:axId val="71087548"/>
      </c:barChart>
      <c:lineChart>
        <c:grouping val="standard"/>
        <c:varyColors val="0"/>
        <c:ser>
          <c:idx val="1"/>
          <c:order val="1"/>
          <c:tx>
            <c:strRef>
              <c:f>Analysis!S8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Analysis!$Q$9:$Q$63</c:f>
              <c:strCache>
                <c:ptCount val="55"/>
                <c:pt idx="0">
                  <c:v>SBL</c:v>
                </c:pt>
                <c:pt idx="1">
                  <c:v>SNA</c:v>
                </c:pt>
                <c:pt idx="2">
                  <c:v>WAK</c:v>
                </c:pt>
                <c:pt idx="3">
                  <c:v>TiO2</c:v>
                </c:pt>
                <c:pt idx="4">
                  <c:v>SUL</c:v>
                </c:pt>
                <c:pt idx="5">
                  <c:v>XNB 900</c:v>
                </c:pt>
                <c:pt idx="6">
                  <c:v>AW</c:v>
                </c:pt>
                <c:pt idx="7">
                  <c:v>WFAT</c:v>
                </c:pt>
                <c:pt idx="8">
                  <c:v>XAC</c:v>
                </c:pt>
                <c:pt idx="9">
                  <c:v>RU</c:v>
                </c:pt>
                <c:pt idx="10">
                  <c:v>KG</c:v>
                </c:pt>
                <c:pt idx="11">
                  <c:v>CRTI</c:v>
                </c:pt>
                <c:pt idx="12">
                  <c:v>DB</c:v>
                </c:pt>
                <c:pt idx="13">
                  <c:v>Silcoat</c:v>
                </c:pt>
                <c:pt idx="14">
                  <c:v>NSA</c:v>
                </c:pt>
                <c:pt idx="15">
                  <c:v>AA</c:v>
                </c:pt>
                <c:pt idx="16">
                  <c:v>SBAI</c:v>
                </c:pt>
                <c:pt idx="17">
                  <c:v>TiO2 R</c:v>
                </c:pt>
                <c:pt idx="18">
                  <c:v>Act. Conc</c:v>
                </c:pt>
                <c:pt idx="19">
                  <c:v>DLPS</c:v>
                </c:pt>
                <c:pt idx="20">
                  <c:v>ECO 6</c:v>
                </c:pt>
                <c:pt idx="21">
                  <c:v>OIT 9</c:v>
                </c:pt>
                <c:pt idx="22">
                  <c:v>NSCI</c:v>
                </c:pt>
                <c:pt idx="23">
                  <c:v>KR</c:v>
                </c:pt>
                <c:pt idx="24">
                  <c:v>FI</c:v>
                </c:pt>
                <c:pt idx="25">
                  <c:v>RM</c:v>
                </c:pt>
                <c:pt idx="26">
                  <c:v>ALFI</c:v>
                </c:pt>
                <c:pt idx="27">
                  <c:v>C5I</c:v>
                </c:pt>
                <c:pt idx="28">
                  <c:v>ACT.A</c:v>
                </c:pt>
                <c:pt idx="29">
                  <c:v>FP</c:v>
                </c:pt>
                <c:pt idx="30">
                  <c:v>CWET</c:v>
                </c:pt>
                <c:pt idx="31">
                  <c:v>NHI</c:v>
                </c:pt>
                <c:pt idx="32">
                  <c:v>G2</c:v>
                </c:pt>
                <c:pt idx="33">
                  <c:v>FD</c:v>
                </c:pt>
                <c:pt idx="34">
                  <c:v>ACT E</c:v>
                </c:pt>
                <c:pt idx="35">
                  <c:v>WTI</c:v>
                </c:pt>
                <c:pt idx="36">
                  <c:v>G1</c:v>
                </c:pt>
                <c:pt idx="37">
                  <c:v>ZnO</c:v>
                </c:pt>
                <c:pt idx="38">
                  <c:v>BPR</c:v>
                </c:pt>
                <c:pt idx="39">
                  <c:v>AC</c:v>
                </c:pt>
                <c:pt idx="40">
                  <c:v>EF</c:v>
                </c:pt>
                <c:pt idx="41">
                  <c:v>PBS</c:v>
                </c:pt>
                <c:pt idx="42">
                  <c:v>G50</c:v>
                </c:pt>
                <c:pt idx="43">
                  <c:v>SUM</c:v>
                </c:pt>
                <c:pt idx="44">
                  <c:v>ITS</c:v>
                </c:pt>
                <c:pt idx="45">
                  <c:v>DCD</c:v>
                </c:pt>
                <c:pt idx="46">
                  <c:v>AM</c:v>
                </c:pt>
                <c:pt idx="47">
                  <c:v>LA</c:v>
                </c:pt>
                <c:pt idx="48">
                  <c:v>FCTI</c:v>
                </c:pt>
                <c:pt idx="49">
                  <c:v>FCMI</c:v>
                </c:pt>
                <c:pt idx="50">
                  <c:v>RPN</c:v>
                </c:pt>
                <c:pt idx="51">
                  <c:v>OX90</c:v>
                </c:pt>
                <c:pt idx="52">
                  <c:v>RP7</c:v>
                </c:pt>
                <c:pt idx="53">
                  <c:v>MDI</c:v>
                </c:pt>
                <c:pt idx="54">
                  <c:v>KI</c:v>
                </c:pt>
              </c:strCache>
            </c:strRef>
          </c:cat>
          <c:val>
            <c:numRef>
              <c:f>Analysis!$S$9:$S$63</c:f>
              <c:numCache>
                <c:formatCode>0.0%</c:formatCode>
                <c:ptCount val="55"/>
                <c:pt idx="0">
                  <c:v>0.209623403869445</c:v>
                </c:pt>
                <c:pt idx="1">
                  <c:v>0.37777419374746</c:v>
                </c:pt>
                <c:pt idx="2">
                  <c:v>0.45177572071631</c:v>
                </c:pt>
                <c:pt idx="3">
                  <c:v>0.509199393228375</c:v>
                </c:pt>
                <c:pt idx="4">
                  <c:v>0.554781412170784</c:v>
                </c:pt>
                <c:pt idx="5">
                  <c:v>0.599960457972757</c:v>
                </c:pt>
                <c:pt idx="6">
                  <c:v>0.644757638751174</c:v>
                </c:pt>
                <c:pt idx="7">
                  <c:v>0.679035685428451</c:v>
                </c:pt>
                <c:pt idx="8">
                  <c:v>0.712538488540319</c:v>
                </c:pt>
                <c:pt idx="9">
                  <c:v>0.745365831912028</c:v>
                </c:pt>
                <c:pt idx="10">
                  <c:v>0.774847346866292</c:v>
                </c:pt>
                <c:pt idx="11">
                  <c:v>0.797682491490973</c:v>
                </c:pt>
                <c:pt idx="12">
                  <c:v>0.819858679085055</c:v>
                </c:pt>
                <c:pt idx="13">
                  <c:v>0.840301007580224</c:v>
                </c:pt>
                <c:pt idx="14">
                  <c:v>0.8600390157827</c:v>
                </c:pt>
                <c:pt idx="15">
                  <c:v>0.879728667208324</c:v>
                </c:pt>
                <c:pt idx="16">
                  <c:v>0.897459485387488</c:v>
                </c:pt>
                <c:pt idx="17">
                  <c:v>0.910998692095024</c:v>
                </c:pt>
                <c:pt idx="18">
                  <c:v>0.92377869740598</c:v>
                </c:pt>
                <c:pt idx="19">
                  <c:v>0.936489621607147</c:v>
                </c:pt>
                <c:pt idx="20">
                  <c:v>0.949154491735121</c:v>
                </c:pt>
                <c:pt idx="21">
                  <c:v>0.958864194797185</c:v>
                </c:pt>
                <c:pt idx="22">
                  <c:v>0.967006554937643</c:v>
                </c:pt>
                <c:pt idx="23">
                  <c:v>0.973454125184612</c:v>
                </c:pt>
                <c:pt idx="24">
                  <c:v>0.979287641122345</c:v>
                </c:pt>
                <c:pt idx="25">
                  <c:v>0.984848670460356</c:v>
                </c:pt>
                <c:pt idx="26">
                  <c:v>0.988233644840014</c:v>
                </c:pt>
                <c:pt idx="27">
                  <c:v>0.991480457000095</c:v>
                </c:pt>
                <c:pt idx="28">
                  <c:v>0.993859917448381</c:v>
                </c:pt>
                <c:pt idx="29">
                  <c:v>0.995778837164741</c:v>
                </c:pt>
                <c:pt idx="30">
                  <c:v>0.997170437743045</c:v>
                </c:pt>
                <c:pt idx="31">
                  <c:v>0.998552059938824</c:v>
                </c:pt>
                <c:pt idx="32">
                  <c:v>0.999549898191331</c:v>
                </c:pt>
                <c:pt idx="33">
                  <c:v>0.999780168557294</c:v>
                </c:pt>
                <c:pt idx="34">
                  <c:v>0.999975898368363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802557"/>
        <c:axId val="92049555"/>
      </c:lineChart>
      <c:catAx>
        <c:axId val="2522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(ranked)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87548"/>
        <c:crosses val="autoZero"/>
        <c:auto val="1"/>
        <c:lblAlgn val="ctr"/>
        <c:lblOffset val="100"/>
        <c:noMultiLvlLbl val="0"/>
      </c:catAx>
      <c:valAx>
        <c:axId val="710875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Value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2417"/>
        <c:crosses val="autoZero"/>
        <c:crossBetween val="between"/>
      </c:valAx>
      <c:catAx>
        <c:axId val="36802557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(ranked)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49555"/>
        <c:crosses val="autoZero"/>
        <c:auto val="1"/>
        <c:lblAlgn val="ctr"/>
        <c:lblOffset val="100"/>
        <c:noMultiLvlLbl val="0"/>
      </c:catAx>
      <c:valAx>
        <c:axId val="9204955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0255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Turnover Ratio vs Margin per kg (by product)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"Products"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Analysis!$K$9:$K$63</c:f>
              <c:numCache>
                <c:formatCode>0.00</c:formatCode>
                <c:ptCount val="55"/>
                <c:pt idx="0">
                  <c:v>1.15524475524476</c:v>
                </c:pt>
                <c:pt idx="1">
                  <c:v>0.856182557933841</c:v>
                </c:pt>
                <c:pt idx="2">
                  <c:v>1.26761885603165</c:v>
                </c:pt>
                <c:pt idx="3">
                  <c:v>1.41238773392493</c:v>
                </c:pt>
                <c:pt idx="4">
                  <c:v>1.4608195542775</c:v>
                </c:pt>
                <c:pt idx="5">
                  <c:v>1.27775175644028</c:v>
                </c:pt>
                <c:pt idx="6">
                  <c:v>1.81958195819582</c:v>
                </c:pt>
                <c:pt idx="7">
                  <c:v>0.715081309868568</c:v>
                </c:pt>
                <c:pt idx="8">
                  <c:v>1.875</c:v>
                </c:pt>
                <c:pt idx="9">
                  <c:v>0</c:v>
                </c:pt>
                <c:pt idx="10">
                  <c:v>2</c:v>
                </c:pt>
                <c:pt idx="11">
                  <c:v>1.66007604562738</c:v>
                </c:pt>
                <c:pt idx="12">
                  <c:v>0.750479629838619</c:v>
                </c:pt>
                <c:pt idx="13">
                  <c:v>1.19142857142857</c:v>
                </c:pt>
                <c:pt idx="14">
                  <c:v>0</c:v>
                </c:pt>
                <c:pt idx="15">
                  <c:v>1.0727969348659</c:v>
                </c:pt>
                <c:pt idx="16">
                  <c:v>0.0762049914269385</c:v>
                </c:pt>
                <c:pt idx="17">
                  <c:v>0.924537731134433</c:v>
                </c:pt>
                <c:pt idx="18">
                  <c:v>1.32155477031802</c:v>
                </c:pt>
                <c:pt idx="19">
                  <c:v>0.399305555555556</c:v>
                </c:pt>
                <c:pt idx="20">
                  <c:v>1.02222222222222</c:v>
                </c:pt>
                <c:pt idx="21">
                  <c:v>1.23665480427046</c:v>
                </c:pt>
                <c:pt idx="22">
                  <c:v>0.899625156184923</c:v>
                </c:pt>
                <c:pt idx="23">
                  <c:v>1.2961051149695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0.196560196560197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0.0297619047619048</c:v>
                </c:pt>
                <c:pt idx="35">
                  <c:v>1.03969754253308</c:v>
                </c:pt>
                <c:pt idx="36">
                  <c:v>1.00529100529101</c:v>
                </c:pt>
                <c:pt idx="37">
                  <c:v>0.635135135135135</c:v>
                </c:pt>
                <c:pt idx="38">
                  <c:v>1.2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1.6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0.0266666666666667</c:v>
                </c:pt>
                <c:pt idx="47">
                  <c:v>0.222222222222222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1.80165289256198</c:v>
                </c:pt>
                <c:pt idx="54">
                  <c:v>0.149344096871847</c:v>
                </c:pt>
              </c:numCache>
            </c:numRef>
          </c:xVal>
          <c:yVal>
            <c:numRef>
              <c:f>Analysis!$L$9:$L$63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8</c:v>
                </c:pt>
                <c:pt idx="3">
                  <c:v>14</c:v>
                </c:pt>
                <c:pt idx="4">
                  <c:v>13</c:v>
                </c:pt>
                <c:pt idx="5">
                  <c:v>25</c:v>
                </c:pt>
                <c:pt idx="6">
                  <c:v>5</c:v>
                </c:pt>
                <c:pt idx="7">
                  <c:v>37</c:v>
                </c:pt>
                <c:pt idx="8">
                  <c:v>12</c:v>
                </c:pt>
                <c:pt idx="9">
                  <c:v>30</c:v>
                </c:pt>
                <c:pt idx="10">
                  <c:v>35</c:v>
                </c:pt>
                <c:pt idx="11">
                  <c:v>77</c:v>
                </c:pt>
                <c:pt idx="12">
                  <c:v>50</c:v>
                </c:pt>
                <c:pt idx="13">
                  <c:v>52</c:v>
                </c:pt>
                <c:pt idx="14">
                  <c:v>20</c:v>
                </c:pt>
                <c:pt idx="15">
                  <c:v>23</c:v>
                </c:pt>
                <c:pt idx="16">
                  <c:v>31</c:v>
                </c:pt>
                <c:pt idx="17">
                  <c:v>41</c:v>
                </c:pt>
                <c:pt idx="18">
                  <c:v>17</c:v>
                </c:pt>
                <c:pt idx="19">
                  <c:v>3</c:v>
                </c:pt>
                <c:pt idx="20">
                  <c:v>-7</c:v>
                </c:pt>
                <c:pt idx="21">
                  <c:v>0</c:v>
                </c:pt>
                <c:pt idx="22">
                  <c:v>22</c:v>
                </c:pt>
                <c:pt idx="23">
                  <c:v>80</c:v>
                </c:pt>
                <c:pt idx="24">
                  <c:v>99</c:v>
                </c:pt>
                <c:pt idx="25">
                  <c:v>0</c:v>
                </c:pt>
                <c:pt idx="26">
                  <c:v>40</c:v>
                </c:pt>
                <c:pt idx="27">
                  <c:v>0</c:v>
                </c:pt>
                <c:pt idx="28">
                  <c:v>23</c:v>
                </c:pt>
                <c:pt idx="29">
                  <c:v>80</c:v>
                </c:pt>
                <c:pt idx="30">
                  <c:v>25</c:v>
                </c:pt>
                <c:pt idx="31">
                  <c:v>58</c:v>
                </c:pt>
                <c:pt idx="32">
                  <c:v>80</c:v>
                </c:pt>
                <c:pt idx="33">
                  <c:v>68</c:v>
                </c:pt>
                <c:pt idx="34">
                  <c:v>28</c:v>
                </c:pt>
                <c:pt idx="35">
                  <c:v>25</c:v>
                </c:pt>
                <c:pt idx="36">
                  <c:v>20</c:v>
                </c:pt>
                <c:pt idx="37">
                  <c:v>300</c:v>
                </c:pt>
                <c:pt idx="38">
                  <c:v>66</c:v>
                </c:pt>
                <c:pt idx="39">
                  <c:v>20</c:v>
                </c:pt>
                <c:pt idx="40">
                  <c:v>10</c:v>
                </c:pt>
                <c:pt idx="41">
                  <c:v>20</c:v>
                </c:pt>
                <c:pt idx="42">
                  <c:v>56</c:v>
                </c:pt>
                <c:pt idx="43">
                  <c:v>30</c:v>
                </c:pt>
                <c:pt idx="44">
                  <c:v>15</c:v>
                </c:pt>
                <c:pt idx="45">
                  <c:v>15</c:v>
                </c:pt>
                <c:pt idx="46">
                  <c:v>32</c:v>
                </c:pt>
                <c:pt idx="47">
                  <c:v>20</c:v>
                </c:pt>
                <c:pt idx="48">
                  <c:v>20</c:v>
                </c:pt>
                <c:pt idx="49">
                  <c:v>30</c:v>
                </c:pt>
                <c:pt idx="50">
                  <c:v>25</c:v>
                </c:pt>
                <c:pt idx="51">
                  <c:v>25</c:v>
                </c:pt>
                <c:pt idx="52">
                  <c:v>18</c:v>
                </c:pt>
                <c:pt idx="53">
                  <c:v>110</c:v>
                </c:pt>
                <c:pt idx="54">
                  <c:v>200</c:v>
                </c:pt>
              </c:numCache>
            </c:numRef>
          </c:yVal>
          <c:smooth val="1"/>
        </c:ser>
        <c:axId val="6608786"/>
        <c:axId val="1386283"/>
      </c:scatterChart>
      <c:valAx>
        <c:axId val="660878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Turnover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6283"/>
        <c:crosses val="autoZero"/>
        <c:crossBetween val="midCat"/>
      </c:valAx>
      <c:valAx>
        <c:axId val="13862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per kg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87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Stock vs Total Sales by Product (spot dead stock)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Analysis!G8</c:f>
              <c:strCache>
                <c:ptCount val="1"/>
                <c:pt idx="0">
                  <c:v>Closing Stock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Analysis!$B$9:$B$63</c:f>
              <c:strCache>
                <c:ptCount val="55"/>
                <c:pt idx="0">
                  <c:v>KG</c:v>
                </c:pt>
                <c:pt idx="1">
                  <c:v>AA</c:v>
                </c:pt>
                <c:pt idx="2">
                  <c:v>WAK</c:v>
                </c:pt>
                <c:pt idx="3">
                  <c:v>SNA</c:v>
                </c:pt>
                <c:pt idx="4">
                  <c:v>SBL</c:v>
                </c:pt>
                <c:pt idx="5">
                  <c:v>XAC</c:v>
                </c:pt>
                <c:pt idx="6">
                  <c:v>WFAT</c:v>
                </c:pt>
                <c:pt idx="7">
                  <c:v>SUL</c:v>
                </c:pt>
                <c:pt idx="8">
                  <c:v>KR</c:v>
                </c:pt>
                <c:pt idx="9">
                  <c:v>G1</c:v>
                </c:pt>
                <c:pt idx="10">
                  <c:v>G2</c:v>
                </c:pt>
                <c:pt idx="11">
                  <c:v>Silcoat</c:v>
                </c:pt>
                <c:pt idx="12">
                  <c:v>TiO2</c:v>
                </c:pt>
                <c:pt idx="13">
                  <c:v>TiO2 R</c:v>
                </c:pt>
                <c:pt idx="14">
                  <c:v>ZnO</c:v>
                </c:pt>
                <c:pt idx="15">
                  <c:v>CRTI</c:v>
                </c:pt>
                <c:pt idx="16">
                  <c:v>ACT.A</c:v>
                </c:pt>
                <c:pt idx="17">
                  <c:v>Act. Conc</c:v>
                </c:pt>
                <c:pt idx="18">
                  <c:v>DB</c:v>
                </c:pt>
                <c:pt idx="19">
                  <c:v>RM</c:v>
                </c:pt>
                <c:pt idx="20">
                  <c:v>AW</c:v>
                </c:pt>
                <c:pt idx="21">
                  <c:v>NSA</c:v>
                </c:pt>
                <c:pt idx="22">
                  <c:v>RU</c:v>
                </c:pt>
                <c:pt idx="23">
                  <c:v>OIT 9</c:v>
                </c:pt>
                <c:pt idx="24">
                  <c:v>BPR</c:v>
                </c:pt>
                <c:pt idx="25">
                  <c:v>AC</c:v>
                </c:pt>
                <c:pt idx="26">
                  <c:v>EF</c:v>
                </c:pt>
                <c:pt idx="27">
                  <c:v>PBS</c:v>
                </c:pt>
                <c:pt idx="28">
                  <c:v>G50</c:v>
                </c:pt>
                <c:pt idx="29">
                  <c:v>ECO 6</c:v>
                </c:pt>
                <c:pt idx="30">
                  <c:v>FP</c:v>
                </c:pt>
                <c:pt idx="31">
                  <c:v>SUM</c:v>
                </c:pt>
                <c:pt idx="32">
                  <c:v>DLPS</c:v>
                </c:pt>
                <c:pt idx="33">
                  <c:v>ITS</c:v>
                </c:pt>
                <c:pt idx="34">
                  <c:v>ACT E</c:v>
                </c:pt>
                <c:pt idx="35">
                  <c:v>SBAI</c:v>
                </c:pt>
                <c:pt idx="36">
                  <c:v>FI</c:v>
                </c:pt>
                <c:pt idx="37">
                  <c:v>C5I</c:v>
                </c:pt>
                <c:pt idx="38">
                  <c:v>ALFI</c:v>
                </c:pt>
                <c:pt idx="39">
                  <c:v>DCD</c:v>
                </c:pt>
                <c:pt idx="40">
                  <c:v>AM</c:v>
                </c:pt>
                <c:pt idx="41">
                  <c:v>NHI</c:v>
                </c:pt>
                <c:pt idx="42">
                  <c:v>NSCI</c:v>
                </c:pt>
                <c:pt idx="43">
                  <c:v>LA</c:v>
                </c:pt>
                <c:pt idx="44">
                  <c:v>FCTI</c:v>
                </c:pt>
                <c:pt idx="45">
                  <c:v>FCMI</c:v>
                </c:pt>
                <c:pt idx="46">
                  <c:v>WTI</c:v>
                </c:pt>
                <c:pt idx="47">
                  <c:v>FD</c:v>
                </c:pt>
                <c:pt idx="48">
                  <c:v>RPN</c:v>
                </c:pt>
                <c:pt idx="49">
                  <c:v>OX90</c:v>
                </c:pt>
                <c:pt idx="50">
                  <c:v>RP7</c:v>
                </c:pt>
                <c:pt idx="51">
                  <c:v>MDI</c:v>
                </c:pt>
                <c:pt idx="52">
                  <c:v>KI</c:v>
                </c:pt>
                <c:pt idx="53">
                  <c:v>XNB 900</c:v>
                </c:pt>
                <c:pt idx="54">
                  <c:v>CWET</c:v>
                </c:pt>
              </c:strCache>
            </c:strRef>
          </c:cat>
          <c:val>
            <c:numRef>
              <c:f>Analysis!$G$9:$G$63</c:f>
              <c:numCache>
                <c:formatCode>#,##0;\(#,##0\);\-</c:formatCode>
                <c:ptCount val="55"/>
                <c:pt idx="0">
                  <c:v>3020</c:v>
                </c:pt>
                <c:pt idx="1">
                  <c:v>3233</c:v>
                </c:pt>
                <c:pt idx="2">
                  <c:v>5461</c:v>
                </c:pt>
                <c:pt idx="3">
                  <c:v>8211</c:v>
                </c:pt>
                <c:pt idx="4">
                  <c:v>9000</c:v>
                </c:pt>
                <c:pt idx="5">
                  <c:v>1542</c:v>
                </c:pt>
                <c:pt idx="6">
                  <c:v>328</c:v>
                </c:pt>
                <c:pt idx="7">
                  <c:v>5768</c:v>
                </c:pt>
                <c:pt idx="8">
                  <c:v>32</c:v>
                </c:pt>
                <c:pt idx="9">
                  <c:v>500</c:v>
                </c:pt>
                <c:pt idx="10">
                  <c:v>0</c:v>
                </c:pt>
                <c:pt idx="11">
                  <c:v>447</c:v>
                </c:pt>
                <c:pt idx="12">
                  <c:v>5536</c:v>
                </c:pt>
                <c:pt idx="13">
                  <c:v>424.5</c:v>
                </c:pt>
                <c:pt idx="14">
                  <c:v>100</c:v>
                </c:pt>
                <c:pt idx="15">
                  <c:v>3025</c:v>
                </c:pt>
                <c:pt idx="16">
                  <c:v>5049</c:v>
                </c:pt>
                <c:pt idx="17">
                  <c:v>1076</c:v>
                </c:pt>
                <c:pt idx="18">
                  <c:v>1440</c:v>
                </c:pt>
                <c:pt idx="19">
                  <c:v>2305</c:v>
                </c:pt>
                <c:pt idx="20">
                  <c:v>2750</c:v>
                </c:pt>
                <c:pt idx="21">
                  <c:v>1072.5</c:v>
                </c:pt>
                <c:pt idx="22">
                  <c:v>2642</c:v>
                </c:pt>
                <c:pt idx="23">
                  <c:v>300</c:v>
                </c:pt>
                <c:pt idx="24">
                  <c:v>0</c:v>
                </c:pt>
                <c:pt idx="25">
                  <c:v>112</c:v>
                </c:pt>
                <c:pt idx="26">
                  <c:v>283</c:v>
                </c:pt>
                <c:pt idx="27">
                  <c:v>85</c:v>
                </c:pt>
                <c:pt idx="28">
                  <c:v>480</c:v>
                </c:pt>
                <c:pt idx="29">
                  <c:v>0</c:v>
                </c:pt>
                <c:pt idx="30">
                  <c:v>1835</c:v>
                </c:pt>
                <c:pt idx="31">
                  <c:v>96</c:v>
                </c:pt>
                <c:pt idx="32">
                  <c:v>0</c:v>
                </c:pt>
                <c:pt idx="33">
                  <c:v>0</c:v>
                </c:pt>
                <c:pt idx="34">
                  <c:v>1655</c:v>
                </c:pt>
                <c:pt idx="35">
                  <c:v>1524</c:v>
                </c:pt>
                <c:pt idx="36">
                  <c:v>470</c:v>
                </c:pt>
                <c:pt idx="37">
                  <c:v>101</c:v>
                </c:pt>
                <c:pt idx="38">
                  <c:v>150</c:v>
                </c:pt>
                <c:pt idx="39">
                  <c:v>18</c:v>
                </c:pt>
                <c:pt idx="40">
                  <c:v>15</c:v>
                </c:pt>
                <c:pt idx="41">
                  <c:v>0</c:v>
                </c:pt>
                <c:pt idx="42">
                  <c:v>120</c:v>
                </c:pt>
                <c:pt idx="43">
                  <c:v>210</c:v>
                </c:pt>
                <c:pt idx="44">
                  <c:v>50</c:v>
                </c:pt>
                <c:pt idx="45">
                  <c:v>225</c:v>
                </c:pt>
                <c:pt idx="46">
                  <c:v>148</c:v>
                </c:pt>
                <c:pt idx="47">
                  <c:v>200</c:v>
                </c:pt>
                <c:pt idx="48">
                  <c:v>157</c:v>
                </c:pt>
                <c:pt idx="49">
                  <c:v>50</c:v>
                </c:pt>
                <c:pt idx="50">
                  <c:v>72</c:v>
                </c:pt>
                <c:pt idx="51">
                  <c:v>28</c:v>
                </c:pt>
                <c:pt idx="52">
                  <c:v>240</c:v>
                </c:pt>
                <c:pt idx="53">
                  <c:v>240</c:v>
                </c:pt>
                <c:pt idx="54">
                  <c:v>917</c:v>
                </c:pt>
              </c:numCache>
            </c:numRef>
          </c:val>
        </c:ser>
        <c:ser>
          <c:idx val="1"/>
          <c:order val="1"/>
          <c:tx>
            <c:strRef>
              <c:f>Analysis!H8</c:f>
              <c:strCache>
                <c:ptCount val="1"/>
                <c:pt idx="0">
                  <c:v>Total Sales (kg)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Analysis!$B$9:$B$63</c:f>
              <c:strCache>
                <c:ptCount val="55"/>
                <c:pt idx="0">
                  <c:v>KG</c:v>
                </c:pt>
                <c:pt idx="1">
                  <c:v>AA</c:v>
                </c:pt>
                <c:pt idx="2">
                  <c:v>WAK</c:v>
                </c:pt>
                <c:pt idx="3">
                  <c:v>SNA</c:v>
                </c:pt>
                <c:pt idx="4">
                  <c:v>SBL</c:v>
                </c:pt>
                <c:pt idx="5">
                  <c:v>XAC</c:v>
                </c:pt>
                <c:pt idx="6">
                  <c:v>WFAT</c:v>
                </c:pt>
                <c:pt idx="7">
                  <c:v>SUL</c:v>
                </c:pt>
                <c:pt idx="8">
                  <c:v>KR</c:v>
                </c:pt>
                <c:pt idx="9">
                  <c:v>G1</c:v>
                </c:pt>
                <c:pt idx="10">
                  <c:v>G2</c:v>
                </c:pt>
                <c:pt idx="11">
                  <c:v>Silcoat</c:v>
                </c:pt>
                <c:pt idx="12">
                  <c:v>TiO2</c:v>
                </c:pt>
                <c:pt idx="13">
                  <c:v>TiO2 R</c:v>
                </c:pt>
                <c:pt idx="14">
                  <c:v>ZnO</c:v>
                </c:pt>
                <c:pt idx="15">
                  <c:v>CRTI</c:v>
                </c:pt>
                <c:pt idx="16">
                  <c:v>ACT.A</c:v>
                </c:pt>
                <c:pt idx="17">
                  <c:v>Act. Conc</c:v>
                </c:pt>
                <c:pt idx="18">
                  <c:v>DB</c:v>
                </c:pt>
                <c:pt idx="19">
                  <c:v>RM</c:v>
                </c:pt>
                <c:pt idx="20">
                  <c:v>AW</c:v>
                </c:pt>
                <c:pt idx="21">
                  <c:v>NSA</c:v>
                </c:pt>
                <c:pt idx="22">
                  <c:v>RU</c:v>
                </c:pt>
                <c:pt idx="23">
                  <c:v>OIT 9</c:v>
                </c:pt>
                <c:pt idx="24">
                  <c:v>BPR</c:v>
                </c:pt>
                <c:pt idx="25">
                  <c:v>AC</c:v>
                </c:pt>
                <c:pt idx="26">
                  <c:v>EF</c:v>
                </c:pt>
                <c:pt idx="27">
                  <c:v>PBS</c:v>
                </c:pt>
                <c:pt idx="28">
                  <c:v>G50</c:v>
                </c:pt>
                <c:pt idx="29">
                  <c:v>ECO 6</c:v>
                </c:pt>
                <c:pt idx="30">
                  <c:v>FP</c:v>
                </c:pt>
                <c:pt idx="31">
                  <c:v>SUM</c:v>
                </c:pt>
                <c:pt idx="32">
                  <c:v>DLPS</c:v>
                </c:pt>
                <c:pt idx="33">
                  <c:v>ITS</c:v>
                </c:pt>
                <c:pt idx="34">
                  <c:v>ACT E</c:v>
                </c:pt>
                <c:pt idx="35">
                  <c:v>SBAI</c:v>
                </c:pt>
                <c:pt idx="36">
                  <c:v>FI</c:v>
                </c:pt>
                <c:pt idx="37">
                  <c:v>C5I</c:v>
                </c:pt>
                <c:pt idx="38">
                  <c:v>ALFI</c:v>
                </c:pt>
                <c:pt idx="39">
                  <c:v>DCD</c:v>
                </c:pt>
                <c:pt idx="40">
                  <c:v>AM</c:v>
                </c:pt>
                <c:pt idx="41">
                  <c:v>NHI</c:v>
                </c:pt>
                <c:pt idx="42">
                  <c:v>NSCI</c:v>
                </c:pt>
                <c:pt idx="43">
                  <c:v>LA</c:v>
                </c:pt>
                <c:pt idx="44">
                  <c:v>FCTI</c:v>
                </c:pt>
                <c:pt idx="45">
                  <c:v>FCMI</c:v>
                </c:pt>
                <c:pt idx="46">
                  <c:v>WTI</c:v>
                </c:pt>
                <c:pt idx="47">
                  <c:v>FD</c:v>
                </c:pt>
                <c:pt idx="48">
                  <c:v>RPN</c:v>
                </c:pt>
                <c:pt idx="49">
                  <c:v>OX90</c:v>
                </c:pt>
                <c:pt idx="50">
                  <c:v>RP7</c:v>
                </c:pt>
                <c:pt idx="51">
                  <c:v>MDI</c:v>
                </c:pt>
                <c:pt idx="52">
                  <c:v>KI</c:v>
                </c:pt>
                <c:pt idx="53">
                  <c:v>XNB 900</c:v>
                </c:pt>
                <c:pt idx="54">
                  <c:v>CWET</c:v>
                </c:pt>
              </c:strCache>
            </c:strRef>
          </c:cat>
          <c:val>
            <c:numRef>
              <c:f>Analysis!$H$9:$H$63</c:f>
              <c:numCache>
                <c:formatCode>#,##0;\(#,##0\);\-</c:formatCode>
                <c:ptCount val="55"/>
                <c:pt idx="0">
                  <c:v>4130</c:v>
                </c:pt>
                <c:pt idx="1">
                  <c:v>2420</c:v>
                </c:pt>
                <c:pt idx="2">
                  <c:v>9452</c:v>
                </c:pt>
                <c:pt idx="3">
                  <c:v>19736</c:v>
                </c:pt>
                <c:pt idx="4">
                  <c:v>24384</c:v>
                </c:pt>
                <c:pt idx="5">
                  <c:v>2728</c:v>
                </c:pt>
                <c:pt idx="6">
                  <c:v>3308</c:v>
                </c:pt>
                <c:pt idx="7">
                  <c:v>3210</c:v>
                </c:pt>
                <c:pt idx="8">
                  <c:v>480</c:v>
                </c:pt>
                <c:pt idx="9">
                  <c:v>0</c:v>
                </c:pt>
                <c:pt idx="10">
                  <c:v>100</c:v>
                </c:pt>
                <c:pt idx="11">
                  <c:v>2183</c:v>
                </c:pt>
                <c:pt idx="12">
                  <c:v>3325</c:v>
                </c:pt>
                <c:pt idx="13">
                  <c:v>625.5</c:v>
                </c:pt>
                <c:pt idx="14">
                  <c:v>0</c:v>
                </c:pt>
                <c:pt idx="15">
                  <c:v>3500</c:v>
                </c:pt>
                <c:pt idx="16">
                  <c:v>200</c:v>
                </c:pt>
                <c:pt idx="17">
                  <c:v>925</c:v>
                </c:pt>
                <c:pt idx="18">
                  <c:v>2805</c:v>
                </c:pt>
                <c:pt idx="19">
                  <c:v>575</c:v>
                </c:pt>
                <c:pt idx="20">
                  <c:v>2875</c:v>
                </c:pt>
                <c:pt idx="21">
                  <c:v>1737.5</c:v>
                </c:pt>
                <c:pt idx="22">
                  <c:v>2160</c:v>
                </c:pt>
                <c:pt idx="23">
                  <c:v>552.4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500</c:v>
                </c:pt>
                <c:pt idx="30">
                  <c:v>200</c:v>
                </c:pt>
                <c:pt idx="31">
                  <c:v>0</c:v>
                </c:pt>
                <c:pt idx="32">
                  <c:v>360</c:v>
                </c:pt>
                <c:pt idx="33">
                  <c:v>0</c:v>
                </c:pt>
                <c:pt idx="34">
                  <c:v>25</c:v>
                </c:pt>
                <c:pt idx="35">
                  <c:v>1650</c:v>
                </c:pt>
                <c:pt idx="36">
                  <c:v>475</c:v>
                </c:pt>
                <c:pt idx="37">
                  <c:v>47</c:v>
                </c:pt>
                <c:pt idx="38">
                  <c:v>225</c:v>
                </c:pt>
                <c:pt idx="39">
                  <c:v>0</c:v>
                </c:pt>
                <c:pt idx="40">
                  <c:v>0</c:v>
                </c:pt>
                <c:pt idx="41">
                  <c:v>150</c:v>
                </c:pt>
                <c:pt idx="42">
                  <c:v>480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2180</c:v>
                </c:pt>
                <c:pt idx="54">
                  <c:v>74</c:v>
                </c:pt>
              </c:numCache>
            </c:numRef>
          </c:val>
        </c:ser>
        <c:gapWidth val="150"/>
        <c:overlap val="0"/>
        <c:axId val="30901199"/>
        <c:axId val="49993030"/>
      </c:barChart>
      <c:catAx>
        <c:axId val="30901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93030"/>
        <c:crosses val="autoZero"/>
        <c:auto val="1"/>
        <c:lblAlgn val="ctr"/>
        <c:lblOffset val="100"/>
        <c:noMultiLvlLbl val="0"/>
      </c:catAx>
      <c:valAx>
        <c:axId val="49993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01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Customers by Estimated Sales Value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Analysis!J68</c:f>
              <c:strCache>
                <c:ptCount val="1"/>
                <c:pt idx="0">
                  <c:v>Est. Sales Value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Analysis!$I$69:$I$83</c:f>
              <c:strCache>
                <c:ptCount val="15"/>
                <c:pt idx="0">
                  <c:v>Labbaik International</c:v>
                </c:pt>
                <c:pt idx="1">
                  <c:v>TIGER INTERNATIONAL</c:v>
                </c:pt>
                <c:pt idx="2">
                  <c:v>Tiger International</c:v>
                </c:pt>
                <c:pt idx="3">
                  <c:v>A Z Enterprise</c:v>
                </c:pt>
                <c:pt idx="4">
                  <c:v>HAMDAAN ENTERPRISE</c:v>
                </c:pt>
                <c:pt idx="5">
                  <c:v>Dilshad Ahmed &amp; Co</c:v>
                </c:pt>
                <c:pt idx="6">
                  <c:v>New Horizons Pvt Ltd</c:v>
                </c:pt>
                <c:pt idx="7">
                  <c:v>New Horizons Pvt. Ltd</c:v>
                </c:pt>
                <c:pt idx="8">
                  <c:v>Globus Alexium</c:v>
                </c:pt>
                <c:pt idx="9">
                  <c:v>Abdin Leather Conceria Pvt.Ltd</c:v>
                </c:pt>
                <c:pt idx="10">
                  <c:v>Umar Traders</c:v>
                </c:pt>
                <c:pt idx="11">
                  <c:v>Chen Kuo Jung</c:v>
                </c:pt>
                <c:pt idx="12">
                  <c:v>Raju Brothers</c:v>
                </c:pt>
                <c:pt idx="13">
                  <c:v>Z K Leather Products</c:v>
                </c:pt>
                <c:pt idx="14">
                  <c:v>Rahaman Industries</c:v>
                </c:pt>
              </c:strCache>
            </c:strRef>
          </c:cat>
          <c:val>
            <c:numRef>
              <c:f>Analysis!$J$69:$J$83</c:f>
              <c:numCache>
                <c:formatCode>#,##0</c:formatCode>
                <c:ptCount val="15"/>
                <c:pt idx="0">
                  <c:v>950640</c:v>
                </c:pt>
                <c:pt idx="1">
                  <c:v>944680</c:v>
                </c:pt>
                <c:pt idx="2">
                  <c:v>944680</c:v>
                </c:pt>
                <c:pt idx="3">
                  <c:v>924690</c:v>
                </c:pt>
                <c:pt idx="4">
                  <c:v>861710</c:v>
                </c:pt>
                <c:pt idx="5">
                  <c:v>769440</c:v>
                </c:pt>
                <c:pt idx="6">
                  <c:v>674430</c:v>
                </c:pt>
                <c:pt idx="7">
                  <c:v>541950</c:v>
                </c:pt>
                <c:pt idx="8">
                  <c:v>527800</c:v>
                </c:pt>
                <c:pt idx="9">
                  <c:v>373984</c:v>
                </c:pt>
                <c:pt idx="10">
                  <c:v>304080</c:v>
                </c:pt>
                <c:pt idx="11">
                  <c:v>297000</c:v>
                </c:pt>
                <c:pt idx="12">
                  <c:v>295140</c:v>
                </c:pt>
                <c:pt idx="13">
                  <c:v>293520</c:v>
                </c:pt>
                <c:pt idx="14">
                  <c:v>273080</c:v>
                </c:pt>
              </c:numCache>
            </c:numRef>
          </c:val>
        </c:ser>
        <c:gapWidth val="150"/>
        <c:overlap val="0"/>
        <c:axId val="23002586"/>
        <c:axId val="90871784"/>
      </c:barChart>
      <c:catAx>
        <c:axId val="2300258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71784"/>
        <c:crosses val="autoZero"/>
        <c:auto val="1"/>
        <c:lblAlgn val="ctr"/>
        <c:lblOffset val="100"/>
        <c:noMultiLvlLbl val="0"/>
      </c:catAx>
      <c:valAx>
        <c:axId val="908717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02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Concentration: Top 5 Customers vs All Others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Analysis!I85</c:f>
              <c:strCache>
                <c:ptCount val="1"/>
                <c:pt idx="0">
                  <c:v>Est. Sales Value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Analysis!$H$86:$H$87</c:f>
              <c:strCache>
                <c:ptCount val="2"/>
                <c:pt idx="0">
                  <c:v>Top 5 Customers</c:v>
                </c:pt>
                <c:pt idx="1">
                  <c:v>All Other Customers</c:v>
                </c:pt>
              </c:strCache>
            </c:strRef>
          </c:cat>
          <c:val>
            <c:numRef>
              <c:f>Analysis!$I$86:$I$87</c:f>
              <c:numCache>
                <c:formatCode>#,##0</c:formatCode>
                <c:ptCount val="2"/>
                <c:pt idx="0">
                  <c:v>4626400</c:v>
                </c:pt>
                <c:pt idx="1">
                  <c:v>9615993.6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53</xdr:row>
      <xdr:rowOff>156960</xdr:rowOff>
    </xdr:from>
    <xdr:to>
      <xdr:col>19</xdr:col>
      <xdr:colOff>588600</xdr:colOff>
      <xdr:row>71</xdr:row>
      <xdr:rowOff>138240</xdr:rowOff>
    </xdr:to>
    <xdr:graphicFrame>
      <xdr:nvGraphicFramePr>
        <xdr:cNvPr id="0" name="Chart 1"/>
        <xdr:cNvGraphicFramePr/>
      </xdr:nvGraphicFramePr>
      <xdr:xfrm>
        <a:off x="4597560" y="10072440"/>
        <a:ext cx="791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7</xdr:row>
      <xdr:rowOff>0</xdr:rowOff>
    </xdr:from>
    <xdr:to>
      <xdr:col>29</xdr:col>
      <xdr:colOff>172800</xdr:colOff>
      <xdr:row>26</xdr:row>
      <xdr:rowOff>148680</xdr:rowOff>
    </xdr:to>
    <xdr:graphicFrame>
      <xdr:nvGraphicFramePr>
        <xdr:cNvPr id="1" name="Chart 1"/>
        <xdr:cNvGraphicFramePr/>
      </xdr:nvGraphicFramePr>
      <xdr:xfrm>
        <a:off x="16259040" y="14000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30</xdr:row>
      <xdr:rowOff>0</xdr:rowOff>
    </xdr:from>
    <xdr:to>
      <xdr:col>29</xdr:col>
      <xdr:colOff>172800</xdr:colOff>
      <xdr:row>50</xdr:row>
      <xdr:rowOff>148680</xdr:rowOff>
    </xdr:to>
    <xdr:graphicFrame>
      <xdr:nvGraphicFramePr>
        <xdr:cNvPr id="2" name="Chart 2"/>
        <xdr:cNvGraphicFramePr/>
      </xdr:nvGraphicFramePr>
      <xdr:xfrm>
        <a:off x="16259040" y="597204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53</xdr:row>
      <xdr:rowOff>0</xdr:rowOff>
    </xdr:from>
    <xdr:to>
      <xdr:col>29</xdr:col>
      <xdr:colOff>172800</xdr:colOff>
      <xdr:row>72</xdr:row>
      <xdr:rowOff>139320</xdr:rowOff>
    </xdr:to>
    <xdr:graphicFrame>
      <xdr:nvGraphicFramePr>
        <xdr:cNvPr id="3" name="Chart 3"/>
        <xdr:cNvGraphicFramePr/>
      </xdr:nvGraphicFramePr>
      <xdr:xfrm>
        <a:off x="16259040" y="10353600"/>
        <a:ext cx="107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67</xdr:row>
      <xdr:rowOff>0</xdr:rowOff>
    </xdr:from>
    <xdr:to>
      <xdr:col>20</xdr:col>
      <xdr:colOff>523440</xdr:colOff>
      <xdr:row>86</xdr:row>
      <xdr:rowOff>149040</xdr:rowOff>
    </xdr:to>
    <xdr:graphicFrame>
      <xdr:nvGraphicFramePr>
        <xdr:cNvPr id="4" name="Chart 4"/>
        <xdr:cNvGraphicFramePr/>
      </xdr:nvGraphicFramePr>
      <xdr:xfrm>
        <a:off x="12546360" y="13030200"/>
        <a:ext cx="93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90</xdr:row>
      <xdr:rowOff>0</xdr:rowOff>
    </xdr:from>
    <xdr:to>
      <xdr:col>16</xdr:col>
      <xdr:colOff>198360</xdr:colOff>
      <xdr:row>107</xdr:row>
      <xdr:rowOff>360</xdr:rowOff>
    </xdr:to>
    <xdr:graphicFrame>
      <xdr:nvGraphicFramePr>
        <xdr:cNvPr id="5" name="Chart 5"/>
        <xdr:cNvGraphicFramePr/>
      </xdr:nvGraphicFramePr>
      <xdr:xfrm>
        <a:off x="12546360" y="17602200"/>
        <a:ext cx="50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ustomerConcentration" displayName="CustomerConcentration" ref="B68:F164" headerRowCount="1" totalsRowCount="0" totalsRowShown="0">
  <autoFilter ref="B68:F164"/>
  <tableColumns count="5">
    <tableColumn id="1" name="Customer"/>
    <tableColumn id="2" name="Total Sales Qty (kg)"/>
    <tableColumn id="3" name="Est. Sales Value (Rs)"/>
    <tableColumn id="4" name="% of Total Sales Value"/>
    <tableColumn id="5" name="Rank"/>
  </tableColumns>
</table>
</file>

<file path=xl/tables/table2.xml><?xml version="1.0" encoding="utf-8"?>
<table xmlns="http://schemas.openxmlformats.org/spreadsheetml/2006/main" id="2" name="ProductMaster" displayName="ProductMaster" ref="A1:G56" headerRowCount="1" totalsRowCount="0" totalsRowShown="0">
  <autoFilter ref="A1:G56"/>
  <tableColumns count="7">
    <tableColumn id="1" name="Product Code"/>
    <tableColumn id="2" name="Category"/>
    <tableColumn id="3" name="Opening Stock (kg)"/>
    <tableColumn id="4" name="Packing Size (kg/drum)"/>
    <tableColumn id="5" name="Purchase Rate (Rs/kg)"/>
    <tableColumn id="6" name="Sale Rate (Rs/kg)"/>
    <tableColumn id="7" name="Reorder Level (kg)"/>
  </tableColumns>
</table>
</file>

<file path=xl/tables/table3.xml><?xml version="1.0" encoding="utf-8"?>
<table xmlns="http://schemas.openxmlformats.org/spreadsheetml/2006/main" id="3" name="ProductPerformance" displayName="ProductPerformance" ref="B8:N63" headerRowCount="1" totalsRowCount="0" totalsRowShown="0">
  <autoFilter ref="B8:N63"/>
  <tableColumns count="13">
    <tableColumn id="1" name="Product"/>
    <tableColumn id="2" name="Sales Value (Rs)"/>
    <tableColumn id="3" name="Sales Rank"/>
    <tableColumn id="4" name="Cumulative %"/>
    <tableColumn id="5" name="ABC Class"/>
    <tableColumn id="6" name="Closing Stock (kg)"/>
    <tableColumn id="7" name="Total Sales (kg)"/>
    <tableColumn id="8" name="Days Covered"/>
    <tableColumn id="9" name="Days of Stock"/>
    <tableColumn id="10" name="Turnover Ratio"/>
    <tableColumn id="11" name="Margin/kg (Rs)"/>
    <tableColumn id="12" name="Total Margin (Rs)"/>
    <tableColumn id="13" name="Stock Status"/>
  </tableColumns>
</table>
</file>

<file path=xl/tables/table4.xml><?xml version="1.0" encoding="utf-8"?>
<table xmlns="http://schemas.openxmlformats.org/spreadsheetml/2006/main" id="4" name="SupplierVolume" displayName="SupplierVolume" ref="B169:F179" headerRowCount="1" totalsRowCount="0" totalsRowShown="0">
  <autoFilter ref="B169:F179"/>
  <tableColumns count="5">
    <tableColumn id="1" name="Supplier"/>
    <tableColumn id="2" name="Total Purchase Qty (kg)"/>
    <tableColumn id="3" name="Est. Purchase Value (Rs)"/>
    <tableColumn id="4" name="% of Total Purchases"/>
    <tableColumn id="5" name="Rank"/>
  </tableColumns>
</table>
</file>

<file path=xl/tables/table5.xml><?xml version="1.0" encoding="utf-8"?>
<table xmlns="http://schemas.openxmlformats.org/spreadsheetml/2006/main" id="5" name="Transactions" displayName="Transactions" ref="A1:I603" headerRowCount="1" totalsRowCount="0" totalsRowShown="0">
  <autoFilter ref="A1:I603">
    <filterColumn colId="3">
      <filters>
        <filter val="Sale"/>
      </filters>
    </filterColumn>
  </autoFilter>
  <tableColumns count="9">
    <tableColumn id="1" name="Txn ID"/>
    <tableColumn id="2" name="Date"/>
    <tableColumn id="3" name="Period"/>
    <tableColumn id="4" name="Type"/>
    <tableColumn id="5" name="Invoice No"/>
    <tableColumn id="6" name="Party"/>
    <tableColumn id="7" name="Product"/>
    <tableColumn id="8" name="Qty (kg)"/>
    <tableColumn id="9" name="Est. Value (R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2" style="1" width="112"/>
  </cols>
  <sheetData>
    <row r="2" customFormat="false" ht="16.5" hidden="false" customHeight="true" outlineLevel="0" collapsed="false">
      <c r="B2" s="2" t="s">
        <v>0</v>
      </c>
    </row>
    <row r="3" customFormat="false" ht="27" hidden="false" customHeight="true" outlineLevel="0" collapsed="false">
      <c r="B3" s="3" t="s">
        <v>1</v>
      </c>
    </row>
    <row r="4" customFormat="false" ht="14.25" hidden="false" customHeight="true" outlineLevel="0" collapsed="false">
      <c r="B4" s="3"/>
    </row>
    <row r="5" customFormat="false" ht="14.25" hidden="false" customHeight="true" outlineLevel="0" collapsed="false">
      <c r="B5" s="3" t="s">
        <v>2</v>
      </c>
    </row>
    <row r="6" customFormat="false" ht="14.25" hidden="false" customHeight="true" outlineLevel="0" collapsed="false">
      <c r="B6" s="3"/>
    </row>
    <row r="7" customFormat="false" ht="14.25" hidden="false" customHeight="true" outlineLevel="0" collapsed="false">
      <c r="B7" s="3" t="s">
        <v>3</v>
      </c>
    </row>
    <row r="8" customFormat="false" ht="41.25" hidden="false" customHeight="true" outlineLevel="0" collapsed="false">
      <c r="B8" s="3" t="s">
        <v>4</v>
      </c>
    </row>
    <row r="9" customFormat="false" ht="14.25" hidden="false" customHeight="true" outlineLevel="0" collapsed="false">
      <c r="B9" s="3"/>
    </row>
    <row r="10" customFormat="false" ht="41.25" hidden="false" customHeight="true" outlineLevel="0" collapsed="false">
      <c r="B10" s="3" t="s">
        <v>5</v>
      </c>
    </row>
    <row r="11" customFormat="false" ht="14.25" hidden="false" customHeight="true" outlineLevel="0" collapsed="false">
      <c r="B11" s="3"/>
    </row>
    <row r="12" customFormat="false" ht="27" hidden="false" customHeight="true" outlineLevel="0" collapsed="false">
      <c r="B12" s="3" t="s">
        <v>6</v>
      </c>
    </row>
    <row r="13" customFormat="false" ht="14.25" hidden="false" customHeight="true" outlineLevel="0" collapsed="false">
      <c r="B13" s="3"/>
    </row>
    <row r="14" customFormat="false" ht="14.25" hidden="false" customHeight="true" outlineLevel="0" collapsed="false">
      <c r="B14" s="3" t="s">
        <v>7</v>
      </c>
    </row>
    <row r="15" customFormat="false" ht="14.25" hidden="false" customHeight="true" outlineLevel="0" collapsed="false">
      <c r="B15" s="3"/>
    </row>
    <row r="16" customFormat="false" ht="14.25" hidden="false" customHeight="true" outlineLevel="0" collapsed="false">
      <c r="B16" s="3" t="s">
        <v>8</v>
      </c>
    </row>
    <row r="17" customFormat="false" ht="54.75" hidden="false" customHeight="true" outlineLevel="0" collapsed="false">
      <c r="B17" s="3" t="s">
        <v>9</v>
      </c>
    </row>
    <row r="18" customFormat="false" ht="14.25" hidden="false" customHeight="true" outlineLevel="0" collapsed="false">
      <c r="B18" s="3" t="s">
        <v>10</v>
      </c>
    </row>
    <row r="19" customFormat="false" ht="27" hidden="false" customHeight="true" outlineLevel="0" collapsed="false">
      <c r="B19" s="3" t="s">
        <v>11</v>
      </c>
    </row>
    <row r="20" customFormat="false" ht="14.25" hidden="false" customHeight="true" outlineLevel="0" collapsed="false">
      <c r="B20" s="3" t="s">
        <v>12</v>
      </c>
    </row>
    <row r="21" customFormat="false" ht="27" hidden="false" customHeight="true" outlineLevel="0" collapsed="false">
      <c r="B21" s="3" t="s">
        <v>13</v>
      </c>
    </row>
    <row r="22" customFormat="false" ht="14.25" hidden="false" customHeight="true" outlineLevel="0" collapsed="false">
      <c r="B22" s="3"/>
    </row>
    <row r="23" customFormat="false" ht="14.25" hidden="false" customHeight="true" outlineLevel="0" collapsed="false">
      <c r="B23" s="3" t="s">
        <v>14</v>
      </c>
    </row>
    <row r="24" customFormat="false" ht="14.25" hidden="false" customHeight="true" outlineLevel="0" collapsed="false">
      <c r="B24" s="3" t="s">
        <v>15</v>
      </c>
    </row>
    <row r="25" customFormat="false" ht="14.25" hidden="false" customHeight="true" outlineLevel="0" collapsed="false">
      <c r="B25" s="3" t="s">
        <v>16</v>
      </c>
    </row>
    <row r="26" customFormat="false" ht="14.25" hidden="false" customHeight="true" outlineLevel="0" collapsed="false">
      <c r="B26" s="3" t="s">
        <v>17</v>
      </c>
    </row>
    <row r="28" customFormat="false" ht="31.5" hidden="false" customHeight="true" outlineLevel="0" collapsed="false">
      <c r="B28" s="4" t="s">
        <v>18</v>
      </c>
    </row>
    <row r="30" customFormat="false" ht="45.75" hidden="false" customHeight="true" outlineLevel="0" collapsed="false">
      <c r="B30" s="5" t="s">
        <v>19</v>
      </c>
    </row>
    <row r="32" customFormat="false" ht="45.75" hidden="false" customHeight="true" outlineLevel="0" collapsed="false">
      <c r="B32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5" min="5" style="1" width="11.56"/>
  </cols>
  <sheetData>
    <row r="2" customFormat="false" ht="19.5" hidden="false" customHeight="true" outlineLevel="0" collapsed="false">
      <c r="B2" s="6" t="s">
        <v>0</v>
      </c>
    </row>
    <row r="4" customFormat="false" ht="18" hidden="false" customHeight="true" outlineLevel="0" collapsed="false">
      <c r="B4" s="7" t="s">
        <v>21</v>
      </c>
      <c r="C4" s="7"/>
      <c r="D4" s="7" t="s">
        <v>22</v>
      </c>
      <c r="E4" s="7"/>
      <c r="F4" s="7" t="s">
        <v>23</v>
      </c>
      <c r="G4" s="7"/>
      <c r="H4" s="7" t="s">
        <v>24</v>
      </c>
      <c r="I4" s="7"/>
    </row>
    <row r="5" customFormat="false" ht="25.5" hidden="false" customHeight="true" outlineLevel="0" collapsed="false">
      <c r="B5" s="8" t="n">
        <f aca="false">Stock_Summary!K57</f>
        <v>8721679</v>
      </c>
      <c r="C5" s="8"/>
      <c r="D5" s="8" t="n">
        <f aca="false">Stock_Summary!L57</f>
        <v>13028163.6</v>
      </c>
      <c r="E5" s="8"/>
      <c r="F5" s="8" t="n">
        <f aca="false">Stock_Summary!F57</f>
        <v>72743</v>
      </c>
      <c r="G5" s="8"/>
      <c r="H5" s="8" t="n">
        <f aca="false">COUNTIF(Stock_Summary!N2:N56,"LOW STOCK")</f>
        <v>0</v>
      </c>
      <c r="I5" s="8"/>
    </row>
    <row r="6" customFormat="false" ht="18" hidden="false" customHeight="true" outlineLevel="0" collapsed="false">
      <c r="B6" s="8"/>
      <c r="C6" s="8"/>
      <c r="D6" s="8"/>
      <c r="E6" s="8"/>
      <c r="F6" s="8"/>
      <c r="G6" s="8"/>
      <c r="H6" s="8"/>
      <c r="I6" s="8"/>
    </row>
    <row r="52" customFormat="false" ht="15.75" hidden="false" customHeight="true" outlineLevel="0" collapsed="false">
      <c r="B52" s="9" t="s">
        <v>25</v>
      </c>
    </row>
    <row r="53" customFormat="false" ht="14.25" hidden="false" customHeight="true" outlineLevel="0" collapsed="false">
      <c r="B53" s="10" t="s">
        <v>26</v>
      </c>
    </row>
    <row r="54" customFormat="false" ht="14.25" hidden="false" customHeight="true" outlineLevel="0" collapsed="false">
      <c r="L54" s="11" t="s">
        <v>27</v>
      </c>
      <c r="M54" s="11" t="s">
        <v>28</v>
      </c>
      <c r="N54" s="11" t="s">
        <v>29</v>
      </c>
    </row>
    <row r="55" customFormat="false" ht="14.25" hidden="false" customHeight="true" outlineLevel="0" collapsed="false">
      <c r="B55" s="11" t="s">
        <v>29</v>
      </c>
      <c r="C55" s="11" t="s">
        <v>27</v>
      </c>
      <c r="D55" s="11" t="s">
        <v>30</v>
      </c>
      <c r="E55" s="11" t="s">
        <v>31</v>
      </c>
      <c r="F55" s="11" t="s">
        <v>28</v>
      </c>
      <c r="L55" s="1" t="str">
        <f aca="false">Stock_Summary!A2</f>
        <v>KG</v>
      </c>
      <c r="M55" s="12" t="n">
        <f aca="false">MAX(Stock_Summary!M2-Stock_Summary!F2,0)</f>
        <v>0</v>
      </c>
      <c r="N55" s="1" t="n">
        <f aca="false">RANK(M55,$M$55:$M$109,0)+COUNTIF($M$55:M55,M55)-1</f>
        <v>1</v>
      </c>
    </row>
    <row r="56" customFormat="false" ht="14.25" hidden="false" customHeight="true" outlineLevel="0" collapsed="false">
      <c r="B56" s="1" t="n">
        <v>1</v>
      </c>
      <c r="C56" s="1" t="str">
        <f aca="false">IFERROR(INDEX($L$55:$L$109,MATCH(B56,$N$55:$N$109,0)),"")</f>
        <v>KG</v>
      </c>
      <c r="D56" s="1" t="n">
        <f aca="false">IFERROR(INDEX(Stock_Summary!$M$2:$M$56,MATCH(C56,Stock_Summary!$A$2:$A$56,0)),"")</f>
        <v>0</v>
      </c>
      <c r="E56" s="13" t="n">
        <f aca="false">IFERROR(INDEX(Stock_Summary!$F$2:$F$56,MATCH(C56,Stock_Summary!$A$2:$A$56,0)),"")</f>
        <v>3020</v>
      </c>
      <c r="F56" s="12" t="n">
        <f aca="false">IFERROR(INDEX($M$55:$M$109,MATCH(B56,$N$55:$N$109,0)),"")</f>
        <v>0</v>
      </c>
      <c r="L56" s="1" t="str">
        <f aca="false">Stock_Summary!A3</f>
        <v>AA</v>
      </c>
      <c r="M56" s="12" t="n">
        <f aca="false">MAX(Stock_Summary!M3-Stock_Summary!F3,0)</f>
        <v>0</v>
      </c>
      <c r="N56" s="1" t="n">
        <f aca="false">RANK(M56,$M$55:$M$109,0)+COUNTIF($M$55:M56,M56)-1</f>
        <v>2</v>
      </c>
    </row>
    <row r="57" customFormat="false" ht="14.25" hidden="false" customHeight="true" outlineLevel="0" collapsed="false">
      <c r="B57" s="1" t="n">
        <v>2</v>
      </c>
      <c r="C57" s="1" t="str">
        <f aca="false">IFERROR(INDEX($L$55:$L$109,MATCH(B57,$N$55:$N$109,0)),"")</f>
        <v>AA</v>
      </c>
      <c r="D57" s="1" t="n">
        <f aca="false">IFERROR(INDEX(Stock_Summary!$M$2:$M$56,MATCH(C57,Stock_Summary!$A$2:$A$56,0)),"")</f>
        <v>0</v>
      </c>
      <c r="E57" s="13" t="n">
        <f aca="false">IFERROR(INDEX(Stock_Summary!$F$2:$F$56,MATCH(C57,Stock_Summary!$A$2:$A$56,0)),"")</f>
        <v>3233</v>
      </c>
      <c r="F57" s="12" t="n">
        <f aca="false">IFERROR(INDEX($M$55:$M$109,MATCH(B57,$N$55:$N$109,0)),"")</f>
        <v>0</v>
      </c>
      <c r="L57" s="1" t="str">
        <f aca="false">Stock_Summary!A4</f>
        <v>WAK</v>
      </c>
      <c r="M57" s="12" t="n">
        <f aca="false">MAX(Stock_Summary!M4-Stock_Summary!F4,0)</f>
        <v>0</v>
      </c>
      <c r="N57" s="1" t="n">
        <f aca="false">RANK(M57,$M$55:$M$109,0)+COUNTIF($M$55:M57,M57)-1</f>
        <v>3</v>
      </c>
    </row>
    <row r="58" customFormat="false" ht="14.25" hidden="false" customHeight="true" outlineLevel="0" collapsed="false">
      <c r="B58" s="1" t="n">
        <v>3</v>
      </c>
      <c r="C58" s="1" t="str">
        <f aca="false">IFERROR(INDEX($L$55:$L$109,MATCH(B58,$N$55:$N$109,0)),"")</f>
        <v>WAK</v>
      </c>
      <c r="D58" s="1" t="n">
        <f aca="false">IFERROR(INDEX(Stock_Summary!$M$2:$M$56,MATCH(C58,Stock_Summary!$A$2:$A$56,0)),"")</f>
        <v>0</v>
      </c>
      <c r="E58" s="13" t="n">
        <f aca="false">IFERROR(INDEX(Stock_Summary!$F$2:$F$56,MATCH(C58,Stock_Summary!$A$2:$A$56,0)),"")</f>
        <v>5461</v>
      </c>
      <c r="F58" s="12" t="n">
        <f aca="false">IFERROR(INDEX($M$55:$M$109,MATCH(B58,$N$55:$N$109,0)),"")</f>
        <v>0</v>
      </c>
      <c r="L58" s="1" t="str">
        <f aca="false">Stock_Summary!A5</f>
        <v>SNA</v>
      </c>
      <c r="M58" s="12" t="n">
        <f aca="false">MAX(Stock_Summary!M5-Stock_Summary!F5,0)</f>
        <v>0</v>
      </c>
      <c r="N58" s="1" t="n">
        <f aca="false">RANK(M58,$M$55:$M$109,0)+COUNTIF($M$55:M58,M58)-1</f>
        <v>4</v>
      </c>
    </row>
    <row r="59" customFormat="false" ht="14.25" hidden="false" customHeight="true" outlineLevel="0" collapsed="false">
      <c r="B59" s="1" t="n">
        <v>4</v>
      </c>
      <c r="C59" s="1" t="str">
        <f aca="false">IFERROR(INDEX($L$55:$L$109,MATCH(B59,$N$55:$N$109,0)),"")</f>
        <v>SNA</v>
      </c>
      <c r="D59" s="1" t="n">
        <f aca="false">IFERROR(INDEX(Stock_Summary!$M$2:$M$56,MATCH(C59,Stock_Summary!$A$2:$A$56,0)),"")</f>
        <v>0</v>
      </c>
      <c r="E59" s="13" t="n">
        <f aca="false">IFERROR(INDEX(Stock_Summary!$F$2:$F$56,MATCH(C59,Stock_Summary!$A$2:$A$56,0)),"")</f>
        <v>8211</v>
      </c>
      <c r="F59" s="12" t="n">
        <f aca="false">IFERROR(INDEX($M$55:$M$109,MATCH(B59,$N$55:$N$109,0)),"")</f>
        <v>0</v>
      </c>
      <c r="L59" s="1" t="str">
        <f aca="false">Stock_Summary!A6</f>
        <v>SBL</v>
      </c>
      <c r="M59" s="12" t="n">
        <f aca="false">MAX(Stock_Summary!M6-Stock_Summary!F6,0)</f>
        <v>0</v>
      </c>
      <c r="N59" s="1" t="n">
        <f aca="false">RANK(M59,$M$55:$M$109,0)+COUNTIF($M$55:M59,M59)-1</f>
        <v>5</v>
      </c>
    </row>
    <row r="60" customFormat="false" ht="14.25" hidden="false" customHeight="true" outlineLevel="0" collapsed="false">
      <c r="B60" s="1" t="n">
        <v>5</v>
      </c>
      <c r="C60" s="1" t="str">
        <f aca="false">IFERROR(INDEX($L$55:$L$109,MATCH(B60,$N$55:$N$109,0)),"")</f>
        <v>SBL</v>
      </c>
      <c r="D60" s="1" t="n">
        <f aca="false">IFERROR(INDEX(Stock_Summary!$M$2:$M$56,MATCH(C60,Stock_Summary!$A$2:$A$56,0)),"")</f>
        <v>0</v>
      </c>
      <c r="E60" s="13" t="n">
        <f aca="false">IFERROR(INDEX(Stock_Summary!$F$2:$F$56,MATCH(C60,Stock_Summary!$A$2:$A$56,0)),"")</f>
        <v>9000</v>
      </c>
      <c r="F60" s="12" t="n">
        <f aca="false">IFERROR(INDEX($M$55:$M$109,MATCH(B60,$N$55:$N$109,0)),"")</f>
        <v>0</v>
      </c>
      <c r="L60" s="1" t="str">
        <f aca="false">Stock_Summary!A7</f>
        <v>XAC</v>
      </c>
      <c r="M60" s="12" t="n">
        <f aca="false">MAX(Stock_Summary!M7-Stock_Summary!F7,0)</f>
        <v>0</v>
      </c>
      <c r="N60" s="1" t="n">
        <f aca="false">RANK(M60,$M$55:$M$109,0)+COUNTIF($M$55:M60,M60)-1</f>
        <v>6</v>
      </c>
    </row>
    <row r="61" customFormat="false" ht="14.25" hidden="false" customHeight="true" outlineLevel="0" collapsed="false">
      <c r="B61" s="1" t="n">
        <v>6</v>
      </c>
      <c r="C61" s="1" t="str">
        <f aca="false">IFERROR(INDEX($L$55:$L$109,MATCH(B61,$N$55:$N$109,0)),"")</f>
        <v>XAC</v>
      </c>
      <c r="D61" s="1" t="n">
        <f aca="false">IFERROR(INDEX(Stock_Summary!$M$2:$M$56,MATCH(C61,Stock_Summary!$A$2:$A$56,0)),"")</f>
        <v>0</v>
      </c>
      <c r="E61" s="13" t="n">
        <f aca="false">IFERROR(INDEX(Stock_Summary!$F$2:$F$56,MATCH(C61,Stock_Summary!$A$2:$A$56,0)),"")</f>
        <v>1542</v>
      </c>
      <c r="F61" s="12" t="n">
        <f aca="false">IFERROR(INDEX($M$55:$M$109,MATCH(B61,$N$55:$N$109,0)),"")</f>
        <v>0</v>
      </c>
      <c r="L61" s="1" t="str">
        <f aca="false">Stock_Summary!A8</f>
        <v>WFAT</v>
      </c>
      <c r="M61" s="12" t="n">
        <f aca="false">MAX(Stock_Summary!M8-Stock_Summary!F8,0)</f>
        <v>0</v>
      </c>
      <c r="N61" s="1" t="n">
        <f aca="false">RANK(M61,$M$55:$M$109,0)+COUNTIF($M$55:M61,M61)-1</f>
        <v>7</v>
      </c>
    </row>
    <row r="62" customFormat="false" ht="14.25" hidden="false" customHeight="true" outlineLevel="0" collapsed="false">
      <c r="B62" s="1" t="n">
        <v>7</v>
      </c>
      <c r="C62" s="1" t="str">
        <f aca="false">IFERROR(INDEX($L$55:$L$109,MATCH(B62,$N$55:$N$109,0)),"")</f>
        <v>WFAT</v>
      </c>
      <c r="D62" s="1" t="n">
        <f aca="false">IFERROR(INDEX(Stock_Summary!$M$2:$M$56,MATCH(C62,Stock_Summary!$A$2:$A$56,0)),"")</f>
        <v>0</v>
      </c>
      <c r="E62" s="13" t="n">
        <f aca="false">IFERROR(INDEX(Stock_Summary!$F$2:$F$56,MATCH(C62,Stock_Summary!$A$2:$A$56,0)),"")</f>
        <v>328</v>
      </c>
      <c r="F62" s="12" t="n">
        <f aca="false">IFERROR(INDEX($M$55:$M$109,MATCH(B62,$N$55:$N$109,0)),"")</f>
        <v>0</v>
      </c>
      <c r="L62" s="1" t="str">
        <f aca="false">Stock_Summary!A9</f>
        <v>SUL</v>
      </c>
      <c r="M62" s="12" t="n">
        <f aca="false">MAX(Stock_Summary!M9-Stock_Summary!F9,0)</f>
        <v>0</v>
      </c>
      <c r="N62" s="1" t="n">
        <f aca="false">RANK(M62,$M$55:$M$109,0)+COUNTIF($M$55:M62,M62)-1</f>
        <v>8</v>
      </c>
    </row>
    <row r="63" customFormat="false" ht="14.25" hidden="false" customHeight="true" outlineLevel="0" collapsed="false">
      <c r="B63" s="1" t="n">
        <v>8</v>
      </c>
      <c r="C63" s="1" t="str">
        <f aca="false">IFERROR(INDEX($L$55:$L$109,MATCH(B63,$N$55:$N$109,0)),"")</f>
        <v>SUL</v>
      </c>
      <c r="D63" s="1" t="n">
        <f aca="false">IFERROR(INDEX(Stock_Summary!$M$2:$M$56,MATCH(C63,Stock_Summary!$A$2:$A$56,0)),"")</f>
        <v>0</v>
      </c>
      <c r="E63" s="13" t="n">
        <f aca="false">IFERROR(INDEX(Stock_Summary!$F$2:$F$56,MATCH(C63,Stock_Summary!$A$2:$A$56,0)),"")</f>
        <v>5768</v>
      </c>
      <c r="F63" s="12" t="n">
        <f aca="false">IFERROR(INDEX($M$55:$M$109,MATCH(B63,$N$55:$N$109,0)),"")</f>
        <v>0</v>
      </c>
      <c r="L63" s="1" t="str">
        <f aca="false">Stock_Summary!A10</f>
        <v>KR</v>
      </c>
      <c r="M63" s="12" t="n">
        <f aca="false">MAX(Stock_Summary!M10-Stock_Summary!F10,0)</f>
        <v>0</v>
      </c>
      <c r="N63" s="1" t="n">
        <f aca="false">RANK(M63,$M$55:$M$109,0)+COUNTIF($M$55:M63,M63)-1</f>
        <v>9</v>
      </c>
    </row>
    <row r="64" customFormat="false" ht="14.25" hidden="false" customHeight="true" outlineLevel="0" collapsed="false">
      <c r="B64" s="1" t="n">
        <v>9</v>
      </c>
      <c r="C64" s="1" t="str">
        <f aca="false">IFERROR(INDEX($L$55:$L$109,MATCH(B64,$N$55:$N$109,0)),"")</f>
        <v>KR</v>
      </c>
      <c r="D64" s="1" t="n">
        <f aca="false">IFERROR(INDEX(Stock_Summary!$M$2:$M$56,MATCH(C64,Stock_Summary!$A$2:$A$56,0)),"")</f>
        <v>0</v>
      </c>
      <c r="E64" s="13" t="n">
        <f aca="false">IFERROR(INDEX(Stock_Summary!$F$2:$F$56,MATCH(C64,Stock_Summary!$A$2:$A$56,0)),"")</f>
        <v>32</v>
      </c>
      <c r="F64" s="12" t="n">
        <f aca="false">IFERROR(INDEX($M$55:$M$109,MATCH(B64,$N$55:$N$109,0)),"")</f>
        <v>0</v>
      </c>
      <c r="L64" s="1" t="str">
        <f aca="false">Stock_Summary!A11</f>
        <v>G1</v>
      </c>
      <c r="M64" s="12" t="n">
        <f aca="false">MAX(Stock_Summary!M11-Stock_Summary!F11,0)</f>
        <v>0</v>
      </c>
      <c r="N64" s="1" t="n">
        <f aca="false">RANK(M64,$M$55:$M$109,0)+COUNTIF($M$55:M64,M64)-1</f>
        <v>10</v>
      </c>
    </row>
    <row r="65" customFormat="false" ht="14.25" hidden="false" customHeight="true" outlineLevel="0" collapsed="false">
      <c r="B65" s="1" t="n">
        <v>10</v>
      </c>
      <c r="C65" s="1" t="str">
        <f aca="false">IFERROR(INDEX($L$55:$L$109,MATCH(B65,$N$55:$N$109,0)),"")</f>
        <v>G1</v>
      </c>
      <c r="D65" s="1" t="n">
        <f aca="false">IFERROR(INDEX(Stock_Summary!$M$2:$M$56,MATCH(C65,Stock_Summary!$A$2:$A$56,0)),"")</f>
        <v>0</v>
      </c>
      <c r="E65" s="13" t="n">
        <f aca="false">IFERROR(INDEX(Stock_Summary!$F$2:$F$56,MATCH(C65,Stock_Summary!$A$2:$A$56,0)),"")</f>
        <v>500</v>
      </c>
      <c r="F65" s="12" t="n">
        <f aca="false">IFERROR(INDEX($M$55:$M$109,MATCH(B65,$N$55:$N$109,0)),"")</f>
        <v>0</v>
      </c>
      <c r="L65" s="1" t="str">
        <f aca="false">Stock_Summary!A12</f>
        <v>G2</v>
      </c>
      <c r="M65" s="12" t="n">
        <f aca="false">MAX(Stock_Summary!M12-Stock_Summary!F12,0)</f>
        <v>0</v>
      </c>
      <c r="N65" s="1" t="n">
        <f aca="false">RANK(M65,$M$55:$M$109,0)+COUNTIF($M$55:M65,M65)-1</f>
        <v>11</v>
      </c>
    </row>
    <row r="66" customFormat="false" ht="14.25" hidden="false" customHeight="true" outlineLevel="0" collapsed="false">
      <c r="L66" s="1" t="str">
        <f aca="false">Stock_Summary!A13</f>
        <v>Silcoat</v>
      </c>
      <c r="M66" s="12" t="n">
        <f aca="false">MAX(Stock_Summary!M13-Stock_Summary!F13,0)</f>
        <v>0</v>
      </c>
      <c r="N66" s="1" t="n">
        <f aca="false">RANK(M66,$M$55:$M$109,0)+COUNTIF($M$55:M66,M66)-1</f>
        <v>12</v>
      </c>
    </row>
    <row r="67" customFormat="false" ht="14.25" hidden="false" customHeight="true" outlineLevel="0" collapsed="false">
      <c r="L67" s="1" t="str">
        <f aca="false">Stock_Summary!A14</f>
        <v>TiO2</v>
      </c>
      <c r="M67" s="12" t="n">
        <f aca="false">MAX(Stock_Summary!M14-Stock_Summary!F14,0)</f>
        <v>0</v>
      </c>
      <c r="N67" s="1" t="n">
        <f aca="false">RANK(M67,$M$55:$M$109,0)+COUNTIF($M$55:M67,M67)-1</f>
        <v>13</v>
      </c>
    </row>
    <row r="68" customFormat="false" ht="14.25" hidden="false" customHeight="true" outlineLevel="0" collapsed="false">
      <c r="L68" s="1" t="str">
        <f aca="false">Stock_Summary!A15</f>
        <v>TiO2 R</v>
      </c>
      <c r="M68" s="12" t="n">
        <f aca="false">MAX(Stock_Summary!M15-Stock_Summary!F15,0)</f>
        <v>0</v>
      </c>
      <c r="N68" s="1" t="n">
        <f aca="false">RANK(M68,$M$55:$M$109,0)+COUNTIF($M$55:M68,M68)-1</f>
        <v>14</v>
      </c>
    </row>
    <row r="69" customFormat="false" ht="14.25" hidden="false" customHeight="true" outlineLevel="0" collapsed="false">
      <c r="L69" s="1" t="str">
        <f aca="false">Stock_Summary!A16</f>
        <v>ZnO</v>
      </c>
      <c r="M69" s="12" t="n">
        <f aca="false">MAX(Stock_Summary!M16-Stock_Summary!F16,0)</f>
        <v>0</v>
      </c>
      <c r="N69" s="1" t="n">
        <f aca="false">RANK(M69,$M$55:$M$109,0)+COUNTIF($M$55:M69,M69)-1</f>
        <v>15</v>
      </c>
    </row>
    <row r="70" customFormat="false" ht="14.25" hidden="false" customHeight="true" outlineLevel="0" collapsed="false">
      <c r="L70" s="1" t="str">
        <f aca="false">Stock_Summary!A17</f>
        <v>CRTI</v>
      </c>
      <c r="M70" s="12" t="n">
        <f aca="false">MAX(Stock_Summary!M17-Stock_Summary!F17,0)</f>
        <v>0</v>
      </c>
      <c r="N70" s="1" t="n">
        <f aca="false">RANK(M70,$M$55:$M$109,0)+COUNTIF($M$55:M70,M70)-1</f>
        <v>16</v>
      </c>
    </row>
    <row r="71" customFormat="false" ht="14.25" hidden="false" customHeight="true" outlineLevel="0" collapsed="false">
      <c r="L71" s="1" t="str">
        <f aca="false">Stock_Summary!A18</f>
        <v>ACT.A</v>
      </c>
      <c r="M71" s="12" t="n">
        <f aca="false">MAX(Stock_Summary!M18-Stock_Summary!F18,0)</f>
        <v>0</v>
      </c>
      <c r="N71" s="1" t="n">
        <f aca="false">RANK(M71,$M$55:$M$109,0)+COUNTIF($M$55:M71,M71)-1</f>
        <v>17</v>
      </c>
    </row>
    <row r="72" customFormat="false" ht="14.25" hidden="false" customHeight="true" outlineLevel="0" collapsed="false">
      <c r="L72" s="1" t="str">
        <f aca="false">Stock_Summary!A19</f>
        <v>Act. Conc</v>
      </c>
      <c r="M72" s="12" t="n">
        <f aca="false">MAX(Stock_Summary!M19-Stock_Summary!F19,0)</f>
        <v>0</v>
      </c>
      <c r="N72" s="1" t="n">
        <f aca="false">RANK(M72,$M$55:$M$109,0)+COUNTIF($M$55:M72,M72)-1</f>
        <v>18</v>
      </c>
    </row>
    <row r="73" customFormat="false" ht="14.25" hidden="false" customHeight="true" outlineLevel="0" collapsed="false">
      <c r="L73" s="1" t="str">
        <f aca="false">Stock_Summary!A20</f>
        <v>DB</v>
      </c>
      <c r="M73" s="12" t="n">
        <f aca="false">MAX(Stock_Summary!M20-Stock_Summary!F20,0)</f>
        <v>0</v>
      </c>
      <c r="N73" s="1" t="n">
        <f aca="false">RANK(M73,$M$55:$M$109,0)+COUNTIF($M$55:M73,M73)-1</f>
        <v>19</v>
      </c>
    </row>
    <row r="74" customFormat="false" ht="14.25" hidden="false" customHeight="true" outlineLevel="0" collapsed="false">
      <c r="L74" s="1" t="str">
        <f aca="false">Stock_Summary!A21</f>
        <v>RM</v>
      </c>
      <c r="M74" s="12" t="n">
        <f aca="false">MAX(Stock_Summary!M21-Stock_Summary!F21,0)</f>
        <v>0</v>
      </c>
      <c r="N74" s="1" t="n">
        <f aca="false">RANK(M74,$M$55:$M$109,0)+COUNTIF($M$55:M74,M74)-1</f>
        <v>20</v>
      </c>
    </row>
    <row r="75" customFormat="false" ht="14.25" hidden="false" customHeight="true" outlineLevel="0" collapsed="false">
      <c r="L75" s="1" t="str">
        <f aca="false">Stock_Summary!A22</f>
        <v>AW</v>
      </c>
      <c r="M75" s="12" t="n">
        <f aca="false">MAX(Stock_Summary!M22-Stock_Summary!F22,0)</f>
        <v>0</v>
      </c>
      <c r="N75" s="1" t="n">
        <f aca="false">RANK(M75,$M$55:$M$109,0)+COUNTIF($M$55:M75,M75)-1</f>
        <v>21</v>
      </c>
    </row>
    <row r="76" customFormat="false" ht="14.25" hidden="false" customHeight="true" outlineLevel="0" collapsed="false">
      <c r="L76" s="1" t="str">
        <f aca="false">Stock_Summary!A23</f>
        <v>NSA</v>
      </c>
      <c r="M76" s="12" t="n">
        <f aca="false">MAX(Stock_Summary!M23-Stock_Summary!F23,0)</f>
        <v>0</v>
      </c>
      <c r="N76" s="1" t="n">
        <f aca="false">RANK(M76,$M$55:$M$109,0)+COUNTIF($M$55:M76,M76)-1</f>
        <v>22</v>
      </c>
    </row>
    <row r="77" customFormat="false" ht="14.25" hidden="false" customHeight="true" outlineLevel="0" collapsed="false">
      <c r="L77" s="1" t="str">
        <f aca="false">Stock_Summary!A24</f>
        <v>RU</v>
      </c>
      <c r="M77" s="12" t="n">
        <f aca="false">MAX(Stock_Summary!M24-Stock_Summary!F24,0)</f>
        <v>0</v>
      </c>
      <c r="N77" s="1" t="n">
        <f aca="false">RANK(M77,$M$55:$M$109,0)+COUNTIF($M$55:M77,M77)-1</f>
        <v>23</v>
      </c>
    </row>
    <row r="78" customFormat="false" ht="14.25" hidden="false" customHeight="true" outlineLevel="0" collapsed="false">
      <c r="L78" s="1" t="str">
        <f aca="false">Stock_Summary!A25</f>
        <v>OIT 9</v>
      </c>
      <c r="M78" s="12" t="n">
        <f aca="false">MAX(Stock_Summary!M25-Stock_Summary!F25,0)</f>
        <v>0</v>
      </c>
      <c r="N78" s="1" t="n">
        <f aca="false">RANK(M78,$M$55:$M$109,0)+COUNTIF($M$55:M78,M78)-1</f>
        <v>24</v>
      </c>
    </row>
    <row r="79" customFormat="false" ht="14.25" hidden="false" customHeight="true" outlineLevel="0" collapsed="false">
      <c r="L79" s="1" t="str">
        <f aca="false">Stock_Summary!A26</f>
        <v>BPR</v>
      </c>
      <c r="M79" s="12" t="n">
        <f aca="false">MAX(Stock_Summary!M26-Stock_Summary!F26,0)</f>
        <v>0</v>
      </c>
      <c r="N79" s="1" t="n">
        <f aca="false">RANK(M79,$M$55:$M$109,0)+COUNTIF($M$55:M79,M79)-1</f>
        <v>25</v>
      </c>
    </row>
    <row r="80" customFormat="false" ht="14.25" hidden="false" customHeight="true" outlineLevel="0" collapsed="false">
      <c r="L80" s="1" t="str">
        <f aca="false">Stock_Summary!A27</f>
        <v>AC</v>
      </c>
      <c r="M80" s="12" t="n">
        <f aca="false">MAX(Stock_Summary!M27-Stock_Summary!F27,0)</f>
        <v>0</v>
      </c>
      <c r="N80" s="1" t="n">
        <f aca="false">RANK(M80,$M$55:$M$109,0)+COUNTIF($M$55:M80,M80)-1</f>
        <v>26</v>
      </c>
    </row>
    <row r="81" customFormat="false" ht="14.25" hidden="false" customHeight="true" outlineLevel="0" collapsed="false">
      <c r="L81" s="1" t="str">
        <f aca="false">Stock_Summary!A28</f>
        <v>EF</v>
      </c>
      <c r="M81" s="12" t="n">
        <f aca="false">MAX(Stock_Summary!M28-Stock_Summary!F28,0)</f>
        <v>0</v>
      </c>
      <c r="N81" s="1" t="n">
        <f aca="false">RANK(M81,$M$55:$M$109,0)+COUNTIF($M$55:M81,M81)-1</f>
        <v>27</v>
      </c>
    </row>
    <row r="82" customFormat="false" ht="14.25" hidden="false" customHeight="true" outlineLevel="0" collapsed="false">
      <c r="L82" s="1" t="str">
        <f aca="false">Stock_Summary!A29</f>
        <v>PBS</v>
      </c>
      <c r="M82" s="12" t="n">
        <f aca="false">MAX(Stock_Summary!M29-Stock_Summary!F29,0)</f>
        <v>0</v>
      </c>
      <c r="N82" s="1" t="n">
        <f aca="false">RANK(M82,$M$55:$M$109,0)+COUNTIF($M$55:M82,M82)-1</f>
        <v>28</v>
      </c>
    </row>
    <row r="83" customFormat="false" ht="14.25" hidden="false" customHeight="true" outlineLevel="0" collapsed="false">
      <c r="L83" s="1" t="str">
        <f aca="false">Stock_Summary!A30</f>
        <v>G50</v>
      </c>
      <c r="M83" s="12" t="n">
        <f aca="false">MAX(Stock_Summary!M30-Stock_Summary!F30,0)</f>
        <v>0</v>
      </c>
      <c r="N83" s="1" t="n">
        <f aca="false">RANK(M83,$M$55:$M$109,0)+COUNTIF($M$55:M83,M83)-1</f>
        <v>29</v>
      </c>
    </row>
    <row r="84" customFormat="false" ht="14.25" hidden="false" customHeight="true" outlineLevel="0" collapsed="false">
      <c r="L84" s="1" t="str">
        <f aca="false">Stock_Summary!A31</f>
        <v>ECO 6</v>
      </c>
      <c r="M84" s="12" t="n">
        <f aca="false">MAX(Stock_Summary!M31-Stock_Summary!F31,0)</f>
        <v>0</v>
      </c>
      <c r="N84" s="1" t="n">
        <f aca="false">RANK(M84,$M$55:$M$109,0)+COUNTIF($M$55:M84,M84)-1</f>
        <v>30</v>
      </c>
    </row>
    <row r="85" customFormat="false" ht="14.25" hidden="false" customHeight="true" outlineLevel="0" collapsed="false">
      <c r="L85" s="1" t="str">
        <f aca="false">Stock_Summary!A32</f>
        <v>FP</v>
      </c>
      <c r="M85" s="12" t="n">
        <f aca="false">MAX(Stock_Summary!M32-Stock_Summary!F32,0)</f>
        <v>0</v>
      </c>
      <c r="N85" s="1" t="n">
        <f aca="false">RANK(M85,$M$55:$M$109,0)+COUNTIF($M$55:M85,M85)-1</f>
        <v>31</v>
      </c>
    </row>
    <row r="86" customFormat="false" ht="14.25" hidden="false" customHeight="true" outlineLevel="0" collapsed="false">
      <c r="L86" s="1" t="str">
        <f aca="false">Stock_Summary!A33</f>
        <v>SUM</v>
      </c>
      <c r="M86" s="12" t="n">
        <f aca="false">MAX(Stock_Summary!M33-Stock_Summary!F33,0)</f>
        <v>0</v>
      </c>
      <c r="N86" s="1" t="n">
        <f aca="false">RANK(M86,$M$55:$M$109,0)+COUNTIF($M$55:M86,M86)-1</f>
        <v>32</v>
      </c>
    </row>
    <row r="87" customFormat="false" ht="14.25" hidden="false" customHeight="true" outlineLevel="0" collapsed="false">
      <c r="L87" s="1" t="str">
        <f aca="false">Stock_Summary!A34</f>
        <v>DLPS</v>
      </c>
      <c r="M87" s="12" t="n">
        <f aca="false">MAX(Stock_Summary!M34-Stock_Summary!F34,0)</f>
        <v>0</v>
      </c>
      <c r="N87" s="1" t="n">
        <f aca="false">RANK(M87,$M$55:$M$109,0)+COUNTIF($M$55:M87,M87)-1</f>
        <v>33</v>
      </c>
    </row>
    <row r="88" customFormat="false" ht="14.25" hidden="false" customHeight="true" outlineLevel="0" collapsed="false">
      <c r="L88" s="1" t="str">
        <f aca="false">Stock_Summary!A35</f>
        <v>ITS</v>
      </c>
      <c r="M88" s="12" t="n">
        <f aca="false">MAX(Stock_Summary!M35-Stock_Summary!F35,0)</f>
        <v>0</v>
      </c>
      <c r="N88" s="1" t="n">
        <f aca="false">RANK(M88,$M$55:$M$109,0)+COUNTIF($M$55:M88,M88)-1</f>
        <v>34</v>
      </c>
    </row>
    <row r="89" customFormat="false" ht="14.25" hidden="false" customHeight="true" outlineLevel="0" collapsed="false">
      <c r="L89" s="1" t="str">
        <f aca="false">Stock_Summary!A36</f>
        <v>ACT E</v>
      </c>
      <c r="M89" s="12" t="n">
        <f aca="false">MAX(Stock_Summary!M36-Stock_Summary!F36,0)</f>
        <v>0</v>
      </c>
      <c r="N89" s="1" t="n">
        <f aca="false">RANK(M89,$M$55:$M$109,0)+COUNTIF($M$55:M89,M89)-1</f>
        <v>35</v>
      </c>
    </row>
    <row r="90" customFormat="false" ht="14.25" hidden="false" customHeight="true" outlineLevel="0" collapsed="false">
      <c r="L90" s="1" t="str">
        <f aca="false">Stock_Summary!A37</f>
        <v>SBAI</v>
      </c>
      <c r="M90" s="12" t="n">
        <f aca="false">MAX(Stock_Summary!M37-Stock_Summary!F37,0)</f>
        <v>0</v>
      </c>
      <c r="N90" s="1" t="n">
        <f aca="false">RANK(M90,$M$55:$M$109,0)+COUNTIF($M$55:M90,M90)-1</f>
        <v>36</v>
      </c>
    </row>
    <row r="91" customFormat="false" ht="14.25" hidden="false" customHeight="true" outlineLevel="0" collapsed="false">
      <c r="L91" s="1" t="str">
        <f aca="false">Stock_Summary!A38</f>
        <v>FI</v>
      </c>
      <c r="M91" s="12" t="n">
        <f aca="false">MAX(Stock_Summary!M38-Stock_Summary!F38,0)</f>
        <v>0</v>
      </c>
      <c r="N91" s="1" t="n">
        <f aca="false">RANK(M91,$M$55:$M$109,0)+COUNTIF($M$55:M91,M91)-1</f>
        <v>37</v>
      </c>
    </row>
    <row r="92" customFormat="false" ht="14.25" hidden="false" customHeight="true" outlineLevel="0" collapsed="false">
      <c r="L92" s="1" t="str">
        <f aca="false">Stock_Summary!A39</f>
        <v>C5I</v>
      </c>
      <c r="M92" s="12" t="n">
        <f aca="false">MAX(Stock_Summary!M39-Stock_Summary!F39,0)</f>
        <v>0</v>
      </c>
      <c r="N92" s="1" t="n">
        <f aca="false">RANK(M92,$M$55:$M$109,0)+COUNTIF($M$55:M92,M92)-1</f>
        <v>38</v>
      </c>
    </row>
    <row r="93" customFormat="false" ht="14.25" hidden="false" customHeight="true" outlineLevel="0" collapsed="false">
      <c r="L93" s="1" t="str">
        <f aca="false">Stock_Summary!A40</f>
        <v>ALFI</v>
      </c>
      <c r="M93" s="12" t="n">
        <f aca="false">MAX(Stock_Summary!M40-Stock_Summary!F40,0)</f>
        <v>0</v>
      </c>
      <c r="N93" s="1" t="n">
        <f aca="false">RANK(M93,$M$55:$M$109,0)+COUNTIF($M$55:M93,M93)-1</f>
        <v>39</v>
      </c>
    </row>
    <row r="94" customFormat="false" ht="14.25" hidden="false" customHeight="true" outlineLevel="0" collapsed="false">
      <c r="L94" s="1" t="str">
        <f aca="false">Stock_Summary!A41</f>
        <v>DCD</v>
      </c>
      <c r="M94" s="12" t="n">
        <f aca="false">MAX(Stock_Summary!M41-Stock_Summary!F41,0)</f>
        <v>0</v>
      </c>
      <c r="N94" s="1" t="n">
        <f aca="false">RANK(M94,$M$55:$M$109,0)+COUNTIF($M$55:M94,M94)-1</f>
        <v>40</v>
      </c>
    </row>
    <row r="95" customFormat="false" ht="14.25" hidden="false" customHeight="true" outlineLevel="0" collapsed="false">
      <c r="L95" s="1" t="str">
        <f aca="false">Stock_Summary!A42</f>
        <v>AM</v>
      </c>
      <c r="M95" s="12" t="n">
        <f aca="false">MAX(Stock_Summary!M42-Stock_Summary!F42,0)</f>
        <v>0</v>
      </c>
      <c r="N95" s="1" t="n">
        <f aca="false">RANK(M95,$M$55:$M$109,0)+COUNTIF($M$55:M95,M95)-1</f>
        <v>41</v>
      </c>
    </row>
    <row r="96" customFormat="false" ht="14.25" hidden="false" customHeight="true" outlineLevel="0" collapsed="false">
      <c r="L96" s="1" t="str">
        <f aca="false">Stock_Summary!A43</f>
        <v>NHI</v>
      </c>
      <c r="M96" s="12" t="n">
        <f aca="false">MAX(Stock_Summary!M43-Stock_Summary!F43,0)</f>
        <v>0</v>
      </c>
      <c r="N96" s="1" t="n">
        <f aca="false">RANK(M96,$M$55:$M$109,0)+COUNTIF($M$55:M96,M96)-1</f>
        <v>42</v>
      </c>
    </row>
    <row r="97" customFormat="false" ht="14.25" hidden="false" customHeight="true" outlineLevel="0" collapsed="false">
      <c r="L97" s="1" t="str">
        <f aca="false">Stock_Summary!A44</f>
        <v>NSCI</v>
      </c>
      <c r="M97" s="12" t="n">
        <f aca="false">MAX(Stock_Summary!M44-Stock_Summary!F44,0)</f>
        <v>0</v>
      </c>
      <c r="N97" s="1" t="n">
        <f aca="false">RANK(M97,$M$55:$M$109,0)+COUNTIF($M$55:M97,M97)-1</f>
        <v>43</v>
      </c>
    </row>
    <row r="98" customFormat="false" ht="14.25" hidden="false" customHeight="true" outlineLevel="0" collapsed="false">
      <c r="L98" s="1" t="str">
        <f aca="false">Stock_Summary!A45</f>
        <v>LA</v>
      </c>
      <c r="M98" s="12" t="n">
        <f aca="false">MAX(Stock_Summary!M45-Stock_Summary!F45,0)</f>
        <v>0</v>
      </c>
      <c r="N98" s="1" t="n">
        <f aca="false">RANK(M98,$M$55:$M$109,0)+COUNTIF($M$55:M98,M98)-1</f>
        <v>44</v>
      </c>
    </row>
    <row r="99" customFormat="false" ht="14.25" hidden="false" customHeight="true" outlineLevel="0" collapsed="false">
      <c r="L99" s="1" t="str">
        <f aca="false">Stock_Summary!A46</f>
        <v>FCTI</v>
      </c>
      <c r="M99" s="12" t="n">
        <f aca="false">MAX(Stock_Summary!M46-Stock_Summary!F46,0)</f>
        <v>0</v>
      </c>
      <c r="N99" s="1" t="n">
        <f aca="false">RANK(M99,$M$55:$M$109,0)+COUNTIF($M$55:M99,M99)-1</f>
        <v>45</v>
      </c>
    </row>
    <row r="100" customFormat="false" ht="14.25" hidden="false" customHeight="true" outlineLevel="0" collapsed="false">
      <c r="L100" s="1" t="str">
        <f aca="false">Stock_Summary!A47</f>
        <v>FCMI</v>
      </c>
      <c r="M100" s="12" t="n">
        <f aca="false">MAX(Stock_Summary!M47-Stock_Summary!F47,0)</f>
        <v>0</v>
      </c>
      <c r="N100" s="1" t="n">
        <f aca="false">RANK(M100,$M$55:$M$109,0)+COUNTIF($M$55:M100,M100)-1</f>
        <v>46</v>
      </c>
    </row>
    <row r="101" customFormat="false" ht="14.25" hidden="false" customHeight="true" outlineLevel="0" collapsed="false">
      <c r="L101" s="1" t="str">
        <f aca="false">Stock_Summary!A48</f>
        <v>WTI</v>
      </c>
      <c r="M101" s="12" t="n">
        <f aca="false">MAX(Stock_Summary!M48-Stock_Summary!F48,0)</f>
        <v>0</v>
      </c>
      <c r="N101" s="1" t="n">
        <f aca="false">RANK(M101,$M$55:$M$109,0)+COUNTIF($M$55:M101,M101)-1</f>
        <v>47</v>
      </c>
    </row>
    <row r="102" customFormat="false" ht="14.25" hidden="false" customHeight="true" outlineLevel="0" collapsed="false">
      <c r="L102" s="1" t="str">
        <f aca="false">Stock_Summary!A49</f>
        <v>FD</v>
      </c>
      <c r="M102" s="12" t="n">
        <f aca="false">MAX(Stock_Summary!M49-Stock_Summary!F49,0)</f>
        <v>0</v>
      </c>
      <c r="N102" s="1" t="n">
        <f aca="false">RANK(M102,$M$55:$M$109,0)+COUNTIF($M$55:M102,M102)-1</f>
        <v>48</v>
      </c>
    </row>
    <row r="103" customFormat="false" ht="14.25" hidden="false" customHeight="true" outlineLevel="0" collapsed="false">
      <c r="L103" s="1" t="str">
        <f aca="false">Stock_Summary!A50</f>
        <v>RPN</v>
      </c>
      <c r="M103" s="12" t="n">
        <f aca="false">MAX(Stock_Summary!M50-Stock_Summary!F50,0)</f>
        <v>0</v>
      </c>
      <c r="N103" s="1" t="n">
        <f aca="false">RANK(M103,$M$55:$M$109,0)+COUNTIF($M$55:M103,M103)-1</f>
        <v>49</v>
      </c>
    </row>
    <row r="104" customFormat="false" ht="14.25" hidden="false" customHeight="true" outlineLevel="0" collapsed="false">
      <c r="L104" s="1" t="str">
        <f aca="false">Stock_Summary!A51</f>
        <v>OX90</v>
      </c>
      <c r="M104" s="12" t="n">
        <f aca="false">MAX(Stock_Summary!M51-Stock_Summary!F51,0)</f>
        <v>0</v>
      </c>
      <c r="N104" s="1" t="n">
        <f aca="false">RANK(M104,$M$55:$M$109,0)+COUNTIF($M$55:M104,M104)-1</f>
        <v>50</v>
      </c>
    </row>
    <row r="105" customFormat="false" ht="14.25" hidden="false" customHeight="true" outlineLevel="0" collapsed="false">
      <c r="L105" s="1" t="str">
        <f aca="false">Stock_Summary!A52</f>
        <v>RP7</v>
      </c>
      <c r="M105" s="12" t="n">
        <f aca="false">MAX(Stock_Summary!M52-Stock_Summary!F52,0)</f>
        <v>0</v>
      </c>
      <c r="N105" s="1" t="n">
        <f aca="false">RANK(M105,$M$55:$M$109,0)+COUNTIF($M$55:M105,M105)-1</f>
        <v>51</v>
      </c>
    </row>
    <row r="106" customFormat="false" ht="14.25" hidden="false" customHeight="true" outlineLevel="0" collapsed="false">
      <c r="L106" s="1" t="str">
        <f aca="false">Stock_Summary!A53</f>
        <v>MDI</v>
      </c>
      <c r="M106" s="12" t="n">
        <f aca="false">MAX(Stock_Summary!M53-Stock_Summary!F53,0)</f>
        <v>0</v>
      </c>
      <c r="N106" s="1" t="n">
        <f aca="false">RANK(M106,$M$55:$M$109,0)+COUNTIF($M$55:M106,M106)-1</f>
        <v>52</v>
      </c>
    </row>
    <row r="107" customFormat="false" ht="14.25" hidden="false" customHeight="true" outlineLevel="0" collapsed="false">
      <c r="L107" s="1" t="str">
        <f aca="false">Stock_Summary!A54</f>
        <v>KI</v>
      </c>
      <c r="M107" s="12" t="n">
        <f aca="false">MAX(Stock_Summary!M54-Stock_Summary!F54,0)</f>
        <v>0</v>
      </c>
      <c r="N107" s="1" t="n">
        <f aca="false">RANK(M107,$M$55:$M$109,0)+COUNTIF($M$55:M107,M107)-1</f>
        <v>53</v>
      </c>
    </row>
    <row r="108" customFormat="false" ht="14.25" hidden="false" customHeight="true" outlineLevel="0" collapsed="false">
      <c r="L108" s="1" t="str">
        <f aca="false">Stock_Summary!A55</f>
        <v>XNB 900</v>
      </c>
      <c r="M108" s="12" t="n">
        <f aca="false">MAX(Stock_Summary!M55-Stock_Summary!F55,0)</f>
        <v>0</v>
      </c>
      <c r="N108" s="1" t="n">
        <f aca="false">RANK(M108,$M$55:$M$109,0)+COUNTIF($M$55:M108,M108)-1</f>
        <v>54</v>
      </c>
    </row>
    <row r="109" customFormat="false" ht="14.25" hidden="false" customHeight="true" outlineLevel="0" collapsed="false">
      <c r="L109" s="1" t="str">
        <f aca="false">Stock_Summary!A56</f>
        <v>CWET</v>
      </c>
      <c r="M109" s="12" t="n">
        <f aca="false">MAX(Stock_Summary!M56-Stock_Summary!F56,0)</f>
        <v>0</v>
      </c>
      <c r="N109" s="1" t="n">
        <f aca="false">RANK(M109,$M$55:$M$109,0)+COUNTIF($M$55:M109,M109)-1</f>
        <v>55</v>
      </c>
    </row>
  </sheetData>
  <mergeCells count="8">
    <mergeCell ref="B4:C4"/>
    <mergeCell ref="D4:E4"/>
    <mergeCell ref="F4:G4"/>
    <mergeCell ref="H4:I4"/>
    <mergeCell ref="B5:C6"/>
    <mergeCell ref="D5:E6"/>
    <mergeCell ref="F5:G6"/>
    <mergeCell ref="H5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J55" activeCellId="0" sqref="J5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7" min="6" style="1" width="18"/>
  </cols>
  <sheetData>
    <row r="1" customFormat="false" ht="14.25" hidden="false" customHeight="true" outlineLevel="0" collapsed="false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30</v>
      </c>
    </row>
    <row r="2" customFormat="false" ht="14.25" hidden="false" customHeight="true" outlineLevel="0" collapsed="false">
      <c r="A2" s="15" t="s">
        <v>38</v>
      </c>
      <c r="B2" s="15"/>
      <c r="C2" s="16" t="n">
        <v>1980</v>
      </c>
      <c r="D2" s="16" t="n">
        <v>110</v>
      </c>
      <c r="E2" s="16" t="n">
        <v>93</v>
      </c>
      <c r="F2" s="16" t="n">
        <v>93</v>
      </c>
      <c r="G2" s="16"/>
    </row>
    <row r="3" customFormat="false" ht="14.25" hidden="false" customHeight="true" outlineLevel="0" collapsed="false">
      <c r="A3" s="15" t="s">
        <v>39</v>
      </c>
      <c r="B3" s="15"/>
      <c r="C3" s="16" t="n">
        <v>973</v>
      </c>
      <c r="D3" s="16" t="n">
        <v>120</v>
      </c>
      <c r="E3" s="16" t="n">
        <v>96</v>
      </c>
      <c r="F3" s="16" t="n">
        <v>106</v>
      </c>
      <c r="G3" s="16"/>
    </row>
    <row r="4" customFormat="false" ht="14.25" hidden="false" customHeight="true" outlineLevel="0" collapsed="false">
      <c r="A4" s="15" t="s">
        <v>40</v>
      </c>
      <c r="B4" s="15"/>
      <c r="C4" s="16" t="n">
        <v>4713</v>
      </c>
      <c r="D4" s="16" t="n">
        <v>120</v>
      </c>
      <c r="E4" s="16" t="n">
        <v>94</v>
      </c>
      <c r="F4" s="16" t="n">
        <v>102</v>
      </c>
      <c r="G4" s="16"/>
    </row>
    <row r="5" customFormat="false" ht="14.25" hidden="false" customHeight="true" outlineLevel="0" collapsed="false">
      <c r="A5" s="15" t="s">
        <v>41</v>
      </c>
      <c r="B5" s="15"/>
      <c r="C5" s="16" t="n">
        <v>6707</v>
      </c>
      <c r="D5" s="16" t="n">
        <v>120</v>
      </c>
      <c r="E5" s="16" t="n">
        <v>97</v>
      </c>
      <c r="F5" s="16" t="n">
        <v>111</v>
      </c>
      <c r="G5" s="16"/>
    </row>
    <row r="6" customFormat="false" ht="14.25" hidden="false" customHeight="true" outlineLevel="0" collapsed="false">
      <c r="A6" s="15" t="s">
        <v>42</v>
      </c>
      <c r="B6" s="15"/>
      <c r="C6" s="16" t="n">
        <v>4800</v>
      </c>
      <c r="D6" s="16" t="n">
        <v>120</v>
      </c>
      <c r="E6" s="16" t="n">
        <v>99</v>
      </c>
      <c r="F6" s="16" t="n">
        <v>112</v>
      </c>
      <c r="G6" s="16"/>
    </row>
    <row r="7" customFormat="false" ht="14.25" hidden="false" customHeight="true" outlineLevel="0" collapsed="false">
      <c r="A7" s="15" t="s">
        <v>43</v>
      </c>
      <c r="B7" s="15"/>
      <c r="C7" s="16" t="n">
        <v>310</v>
      </c>
      <c r="D7" s="16" t="n">
        <v>120</v>
      </c>
      <c r="E7" s="16" t="n">
        <v>135</v>
      </c>
      <c r="F7" s="16" t="n">
        <v>160</v>
      </c>
      <c r="G7" s="16"/>
    </row>
    <row r="8" customFormat="false" ht="14.25" hidden="false" customHeight="true" outlineLevel="0" collapsed="false">
      <c r="A8" s="15" t="s">
        <v>44</v>
      </c>
      <c r="B8" s="15"/>
      <c r="C8" s="16" t="n">
        <v>156</v>
      </c>
      <c r="D8" s="16" t="n">
        <v>120</v>
      </c>
      <c r="E8" s="16" t="n">
        <v>130</v>
      </c>
      <c r="F8" s="16" t="n">
        <v>135</v>
      </c>
      <c r="G8" s="16"/>
    </row>
    <row r="9" customFormat="false" ht="14.25" hidden="false" customHeight="true" outlineLevel="0" collapsed="false">
      <c r="A9" s="15" t="s">
        <v>45</v>
      </c>
      <c r="B9" s="15"/>
      <c r="C9" s="16" t="n">
        <v>8978</v>
      </c>
      <c r="D9" s="16" t="n">
        <v>150</v>
      </c>
      <c r="E9" s="16" t="n">
        <v>148</v>
      </c>
      <c r="F9" s="16" t="n">
        <v>185</v>
      </c>
      <c r="G9" s="16"/>
    </row>
    <row r="10" customFormat="false" ht="14.25" hidden="false" customHeight="true" outlineLevel="0" collapsed="false">
      <c r="A10" s="15" t="s">
        <v>46</v>
      </c>
      <c r="B10" s="15"/>
      <c r="C10" s="16" t="n">
        <v>512</v>
      </c>
      <c r="D10" s="16" t="n">
        <v>120</v>
      </c>
      <c r="E10" s="16" t="n">
        <v>163</v>
      </c>
      <c r="F10" s="16" t="n">
        <v>175</v>
      </c>
      <c r="G10" s="16"/>
    </row>
    <row r="11" customFormat="false" ht="14.25" hidden="false" customHeight="true" outlineLevel="0" collapsed="false">
      <c r="A11" s="15" t="s">
        <v>47</v>
      </c>
      <c r="B11" s="15"/>
      <c r="C11" s="16" t="n">
        <v>500</v>
      </c>
      <c r="D11" s="16" t="n">
        <v>100</v>
      </c>
      <c r="E11" s="16" t="n">
        <v>105</v>
      </c>
      <c r="F11" s="16" t="n">
        <v>135</v>
      </c>
      <c r="G11" s="16"/>
    </row>
    <row r="12" customFormat="false" ht="14.25" hidden="false" customHeight="true" outlineLevel="0" collapsed="false">
      <c r="A12" s="15" t="s">
        <v>48</v>
      </c>
      <c r="B12" s="15"/>
      <c r="C12" s="16" t="n">
        <v>100</v>
      </c>
      <c r="D12" s="16" t="n">
        <v>100</v>
      </c>
      <c r="E12" s="16" t="n">
        <v>95</v>
      </c>
      <c r="F12" s="16" t="n">
        <v>130</v>
      </c>
      <c r="G12" s="16"/>
    </row>
    <row r="13" customFormat="false" ht="14.25" hidden="false" customHeight="true" outlineLevel="0" collapsed="false">
      <c r="A13" s="15" t="s">
        <v>49</v>
      </c>
      <c r="B13" s="15"/>
      <c r="C13" s="16" t="n">
        <v>590</v>
      </c>
      <c r="D13" s="16" t="n">
        <v>60</v>
      </c>
      <c r="E13" s="16" t="n">
        <v>45</v>
      </c>
      <c r="F13" s="16" t="n">
        <v>122</v>
      </c>
      <c r="G13" s="16"/>
    </row>
    <row r="14" customFormat="false" ht="14.25" hidden="false" customHeight="true" outlineLevel="0" collapsed="false">
      <c r="A14" s="15" t="s">
        <v>50</v>
      </c>
      <c r="B14" s="15"/>
      <c r="C14" s="16" t="n">
        <v>4861</v>
      </c>
      <c r="D14" s="16" t="n">
        <v>25</v>
      </c>
      <c r="E14" s="16" t="n">
        <v>175</v>
      </c>
      <c r="F14" s="16" t="n">
        <v>225</v>
      </c>
      <c r="G14" s="16"/>
    </row>
    <row r="15" customFormat="false" ht="14.25" hidden="false" customHeight="true" outlineLevel="0" collapsed="false">
      <c r="A15" s="15" t="s">
        <v>51</v>
      </c>
      <c r="B15" s="15"/>
      <c r="C15" s="16" t="n">
        <v>50</v>
      </c>
      <c r="D15" s="16" t="n">
        <v>25</v>
      </c>
      <c r="E15" s="16" t="n">
        <v>230</v>
      </c>
      <c r="F15" s="16" t="n">
        <v>282</v>
      </c>
      <c r="G15" s="16"/>
    </row>
    <row r="16" customFormat="false" ht="14.25" hidden="false" customHeight="true" outlineLevel="0" collapsed="false">
      <c r="A16" s="15" t="s">
        <v>52</v>
      </c>
      <c r="B16" s="15"/>
      <c r="C16" s="16" t="n">
        <v>0</v>
      </c>
      <c r="D16" s="16" t="n">
        <v>25</v>
      </c>
      <c r="E16" s="16" t="n">
        <v>260</v>
      </c>
      <c r="F16" s="16" t="n">
        <v>280</v>
      </c>
      <c r="G16" s="16"/>
    </row>
    <row r="17" customFormat="false" ht="14.25" hidden="false" customHeight="true" outlineLevel="0" collapsed="false">
      <c r="A17" s="15" t="s">
        <v>53</v>
      </c>
      <c r="B17" s="15"/>
      <c r="C17" s="16" t="n">
        <v>2525</v>
      </c>
      <c r="D17" s="16" t="n">
        <v>25</v>
      </c>
      <c r="E17" s="16" t="n">
        <v>62</v>
      </c>
      <c r="F17" s="16" t="n">
        <v>85</v>
      </c>
      <c r="G17" s="16"/>
    </row>
    <row r="18" customFormat="false" ht="14.25" hidden="false" customHeight="true" outlineLevel="0" collapsed="false">
      <c r="A18" s="15" t="s">
        <v>54</v>
      </c>
      <c r="B18" s="15"/>
      <c r="C18" s="16" t="n">
        <v>5249</v>
      </c>
      <c r="D18" s="16" t="n">
        <v>25</v>
      </c>
      <c r="E18" s="16" t="n">
        <v>124</v>
      </c>
      <c r="F18" s="16" t="n">
        <v>155</v>
      </c>
      <c r="G18" s="16"/>
    </row>
    <row r="19" customFormat="false" ht="14.25" hidden="false" customHeight="true" outlineLevel="0" collapsed="false">
      <c r="A19" s="15" t="s">
        <v>55</v>
      </c>
      <c r="B19" s="15"/>
      <c r="C19" s="16" t="n">
        <v>2001</v>
      </c>
      <c r="D19" s="16" t="n">
        <v>25</v>
      </c>
      <c r="E19" s="16" t="n">
        <v>139</v>
      </c>
      <c r="F19" s="16" t="n">
        <v>180</v>
      </c>
      <c r="G19" s="16"/>
    </row>
    <row r="20" customFormat="false" ht="14.25" hidden="false" customHeight="true" outlineLevel="0" collapsed="false">
      <c r="A20" s="15" t="s">
        <v>56</v>
      </c>
      <c r="B20" s="15"/>
      <c r="C20" s="16" t="n">
        <v>2144</v>
      </c>
      <c r="D20" s="16" t="n">
        <v>120</v>
      </c>
      <c r="E20" s="16" t="n">
        <v>86</v>
      </c>
      <c r="F20" s="16" t="n">
        <v>103</v>
      </c>
      <c r="G20" s="16"/>
    </row>
    <row r="21" customFormat="false" ht="14.25" hidden="false" customHeight="true" outlineLevel="0" collapsed="false">
      <c r="A21" s="15" t="s">
        <v>57</v>
      </c>
      <c r="B21" s="15"/>
      <c r="C21" s="16" t="n">
        <v>2880</v>
      </c>
      <c r="D21" s="16" t="n">
        <v>25</v>
      </c>
      <c r="E21" s="16" t="n">
        <v>123</v>
      </c>
      <c r="F21" s="16" t="n">
        <v>126</v>
      </c>
      <c r="G21" s="16"/>
    </row>
    <row r="22" customFormat="false" ht="14.25" hidden="false" customHeight="true" outlineLevel="0" collapsed="false">
      <c r="A22" s="15" t="s">
        <v>58</v>
      </c>
      <c r="B22" s="15"/>
      <c r="C22" s="16" t="n">
        <v>1598</v>
      </c>
      <c r="D22" s="16" t="n">
        <v>25</v>
      </c>
      <c r="E22" s="16" t="n">
        <v>210</v>
      </c>
      <c r="F22" s="16" t="n">
        <v>203</v>
      </c>
      <c r="G22" s="16"/>
    </row>
    <row r="23" customFormat="false" ht="14.25" hidden="false" customHeight="true" outlineLevel="0" collapsed="false">
      <c r="A23" s="15" t="s">
        <v>59</v>
      </c>
      <c r="B23" s="15"/>
      <c r="C23" s="16" t="n">
        <v>2810</v>
      </c>
      <c r="D23" s="16" t="n">
        <v>25</v>
      </c>
      <c r="E23" s="16" t="n">
        <v>148</v>
      </c>
      <c r="F23" s="16" t="n">
        <v>148</v>
      </c>
      <c r="G23" s="16"/>
    </row>
    <row r="24" customFormat="false" ht="14.25" hidden="false" customHeight="true" outlineLevel="0" collapsed="false">
      <c r="A24" s="15" t="s">
        <v>60</v>
      </c>
      <c r="B24" s="15"/>
      <c r="C24" s="16" t="n">
        <v>2618</v>
      </c>
      <c r="D24" s="16" t="n">
        <v>120</v>
      </c>
      <c r="E24" s="16" t="n">
        <v>176</v>
      </c>
      <c r="F24" s="16" t="n">
        <v>198</v>
      </c>
      <c r="G24" s="16"/>
    </row>
    <row r="25" customFormat="false" ht="14.25" hidden="false" customHeight="true" outlineLevel="0" collapsed="false">
      <c r="A25" s="15" t="s">
        <v>61</v>
      </c>
      <c r="B25" s="15"/>
      <c r="C25" s="16" t="n">
        <v>164.3</v>
      </c>
      <c r="D25" s="16" t="n">
        <v>30</v>
      </c>
      <c r="E25" s="16" t="n">
        <v>149</v>
      </c>
      <c r="F25" s="16" t="n">
        <v>229</v>
      </c>
      <c r="G25" s="16"/>
    </row>
    <row r="26" customFormat="false" ht="14.25" hidden="false" customHeight="true" outlineLevel="0" collapsed="false">
      <c r="A26" s="15" t="s">
        <v>62</v>
      </c>
      <c r="B26" s="15"/>
      <c r="C26" s="16" t="n">
        <v>0</v>
      </c>
      <c r="D26" s="16" t="n">
        <v>120</v>
      </c>
      <c r="E26" s="16" t="n">
        <v>256</v>
      </c>
      <c r="F26" s="16" t="n">
        <v>355</v>
      </c>
      <c r="G26" s="16"/>
    </row>
    <row r="27" customFormat="false" ht="14.25" hidden="false" customHeight="true" outlineLevel="0" collapsed="false">
      <c r="A27" s="15" t="s">
        <v>63</v>
      </c>
      <c r="B27" s="15"/>
      <c r="C27" s="16" t="n">
        <v>112</v>
      </c>
      <c r="D27" s="16" t="n">
        <v>120</v>
      </c>
      <c r="E27" s="16" t="n">
        <v>183</v>
      </c>
      <c r="F27" s="16" t="n">
        <v>183</v>
      </c>
      <c r="G27" s="16"/>
    </row>
    <row r="28" customFormat="false" ht="14.25" hidden="false" customHeight="true" outlineLevel="0" collapsed="false">
      <c r="A28" s="15" t="s">
        <v>64</v>
      </c>
      <c r="B28" s="15"/>
      <c r="C28" s="16" t="n">
        <v>283</v>
      </c>
      <c r="D28" s="16" t="n">
        <v>120</v>
      </c>
      <c r="E28" s="16" t="n">
        <v>220</v>
      </c>
      <c r="F28" s="16" t="n">
        <v>260</v>
      </c>
      <c r="G28" s="16"/>
    </row>
    <row r="29" customFormat="false" ht="14.25" hidden="false" customHeight="true" outlineLevel="0" collapsed="false">
      <c r="A29" s="15" t="s">
        <v>65</v>
      </c>
      <c r="B29" s="15"/>
      <c r="C29" s="16" t="n">
        <v>85</v>
      </c>
      <c r="D29" s="16" t="n">
        <v>120</v>
      </c>
      <c r="E29" s="16" t="n">
        <v>150</v>
      </c>
      <c r="F29" s="16" t="n">
        <v>150</v>
      </c>
      <c r="G29" s="16"/>
    </row>
    <row r="30" customFormat="false" ht="14.25" hidden="false" customHeight="true" outlineLevel="0" collapsed="false">
      <c r="A30" s="15" t="s">
        <v>66</v>
      </c>
      <c r="B30" s="15"/>
      <c r="C30" s="16" t="n">
        <v>456</v>
      </c>
      <c r="D30" s="16" t="n">
        <v>120</v>
      </c>
      <c r="E30" s="16" t="n">
        <v>102</v>
      </c>
      <c r="F30" s="16" t="n">
        <v>125</v>
      </c>
      <c r="G30" s="16"/>
    </row>
    <row r="31" customFormat="false" ht="14.25" hidden="false" customHeight="true" outlineLevel="0" collapsed="false">
      <c r="A31" s="15" t="s">
        <v>67</v>
      </c>
      <c r="B31" s="15"/>
      <c r="C31" s="16" t="n">
        <v>500</v>
      </c>
      <c r="D31" s="16" t="n">
        <v>25</v>
      </c>
      <c r="E31" s="16" t="n">
        <v>250</v>
      </c>
      <c r="F31" s="16" t="n">
        <v>330</v>
      </c>
      <c r="G31" s="16"/>
    </row>
    <row r="32" customFormat="false" ht="14.25" hidden="false" customHeight="true" outlineLevel="0" collapsed="false">
      <c r="A32" s="15" t="s">
        <v>68</v>
      </c>
      <c r="B32" s="15"/>
      <c r="C32" s="16" t="n">
        <v>1035</v>
      </c>
      <c r="D32" s="16" t="n">
        <v>25</v>
      </c>
      <c r="E32" s="16" t="n">
        <v>100</v>
      </c>
      <c r="F32" s="16" t="n">
        <v>125</v>
      </c>
      <c r="G32" s="16"/>
    </row>
    <row r="33" customFormat="false" ht="14.25" hidden="false" customHeight="true" outlineLevel="0" collapsed="false">
      <c r="A33" s="15" t="s">
        <v>69</v>
      </c>
      <c r="B33" s="15"/>
      <c r="C33" s="16" t="n">
        <v>96</v>
      </c>
      <c r="D33" s="16" t="n">
        <v>120</v>
      </c>
      <c r="E33" s="16" t="n">
        <v>67</v>
      </c>
      <c r="F33" s="16" t="n">
        <v>125</v>
      </c>
      <c r="G33" s="16"/>
    </row>
    <row r="34" customFormat="false" ht="14.25" hidden="false" customHeight="true" outlineLevel="0" collapsed="false">
      <c r="A34" s="15" t="s">
        <v>70</v>
      </c>
      <c r="B34" s="15"/>
      <c r="C34" s="16" t="n">
        <v>0</v>
      </c>
      <c r="D34" s="16"/>
      <c r="E34" s="16" t="n">
        <v>380</v>
      </c>
      <c r="F34" s="16" t="n">
        <v>460</v>
      </c>
      <c r="G34" s="16"/>
    </row>
    <row r="35" customFormat="false" ht="14.25" hidden="false" customHeight="true" outlineLevel="0" collapsed="false">
      <c r="A35" s="15" t="s">
        <v>71</v>
      </c>
      <c r="B35" s="15"/>
      <c r="C35" s="16" t="n">
        <v>0</v>
      </c>
      <c r="D35" s="16" t="n">
        <v>110</v>
      </c>
      <c r="E35" s="16" t="n">
        <v>210</v>
      </c>
      <c r="F35" s="16" t="n">
        <v>278</v>
      </c>
      <c r="G35" s="16"/>
    </row>
    <row r="36" customFormat="false" ht="14.25" hidden="false" customHeight="true" outlineLevel="0" collapsed="false">
      <c r="A36" s="15" t="s">
        <v>72</v>
      </c>
      <c r="B36" s="15"/>
      <c r="C36" s="16" t="n">
        <v>2131</v>
      </c>
      <c r="D36" s="16" t="n">
        <v>120</v>
      </c>
      <c r="E36" s="16" t="n">
        <v>74</v>
      </c>
      <c r="F36" s="16" t="n">
        <v>102</v>
      </c>
      <c r="G36" s="16"/>
    </row>
    <row r="37" customFormat="false" ht="14.25" hidden="false" customHeight="true" outlineLevel="0" collapsed="false">
      <c r="A37" s="15" t="s">
        <v>73</v>
      </c>
      <c r="B37" s="15"/>
      <c r="C37" s="16" t="n">
        <v>674</v>
      </c>
      <c r="D37" s="16" t="n">
        <v>25</v>
      </c>
      <c r="E37" s="16" t="n">
        <v>115</v>
      </c>
      <c r="F37" s="16" t="n">
        <v>140</v>
      </c>
      <c r="G37" s="16"/>
    </row>
    <row r="38" customFormat="false" ht="14.25" hidden="false" customHeight="true" outlineLevel="0" collapsed="false">
      <c r="A38" s="15" t="s">
        <v>74</v>
      </c>
      <c r="B38" s="15"/>
      <c r="C38" s="16" t="n">
        <v>945</v>
      </c>
      <c r="D38" s="16" t="n">
        <v>25</v>
      </c>
      <c r="E38" s="16" t="n">
        <v>140</v>
      </c>
      <c r="F38" s="16" t="n">
        <v>160</v>
      </c>
      <c r="G38" s="16"/>
    </row>
    <row r="39" customFormat="false" ht="14.25" hidden="false" customHeight="true" outlineLevel="0" collapsed="false">
      <c r="A39" s="15" t="s">
        <v>75</v>
      </c>
      <c r="B39" s="15"/>
      <c r="C39" s="16" t="n">
        <v>108</v>
      </c>
      <c r="D39" s="16" t="n">
        <v>20</v>
      </c>
      <c r="E39" s="16" t="n">
        <v>600</v>
      </c>
      <c r="F39" s="16" t="n">
        <v>900</v>
      </c>
      <c r="G39" s="16"/>
    </row>
    <row r="40" customFormat="false" ht="14.25" hidden="false" customHeight="true" outlineLevel="0" collapsed="false">
      <c r="A40" s="15" t="s">
        <v>76</v>
      </c>
      <c r="B40" s="15"/>
      <c r="C40" s="16" t="n">
        <v>25</v>
      </c>
      <c r="D40" s="16" t="n">
        <v>25</v>
      </c>
      <c r="E40" s="16" t="n">
        <v>130</v>
      </c>
      <c r="F40" s="16" t="n">
        <v>196</v>
      </c>
      <c r="G40" s="16"/>
    </row>
    <row r="41" customFormat="false" ht="14.25" hidden="false" customHeight="true" outlineLevel="0" collapsed="false">
      <c r="A41" s="15" t="s">
        <v>77</v>
      </c>
      <c r="B41" s="15"/>
      <c r="C41" s="16" t="n">
        <v>18</v>
      </c>
      <c r="D41" s="16" t="n">
        <v>25</v>
      </c>
      <c r="E41" s="16" t="n">
        <v>120</v>
      </c>
      <c r="F41" s="16" t="n">
        <v>140</v>
      </c>
      <c r="G41" s="16"/>
    </row>
    <row r="42" customFormat="false" ht="14.25" hidden="false" customHeight="true" outlineLevel="0" collapsed="false">
      <c r="A42" s="15" t="s">
        <v>78</v>
      </c>
      <c r="B42" s="15"/>
      <c r="C42" s="16" t="n">
        <v>15</v>
      </c>
      <c r="D42" s="16" t="n">
        <v>25</v>
      </c>
      <c r="E42" s="16" t="n">
        <v>115</v>
      </c>
      <c r="F42" s="16" t="n">
        <v>125</v>
      </c>
      <c r="G42" s="16"/>
    </row>
    <row r="43" customFormat="false" ht="14.25" hidden="false" customHeight="true" outlineLevel="0" collapsed="false">
      <c r="A43" s="15" t="s">
        <v>79</v>
      </c>
      <c r="B43" s="15"/>
      <c r="C43" s="16" t="n">
        <v>150</v>
      </c>
      <c r="D43" s="16" t="n">
        <v>25</v>
      </c>
      <c r="E43" s="16" t="n">
        <v>100</v>
      </c>
      <c r="F43" s="16" t="n">
        <v>120</v>
      </c>
      <c r="G43" s="16"/>
    </row>
    <row r="44" customFormat="false" ht="14.25" hidden="false" customHeight="true" outlineLevel="0" collapsed="false">
      <c r="A44" s="15" t="s">
        <v>80</v>
      </c>
      <c r="B44" s="15"/>
      <c r="C44" s="16" t="n">
        <v>360</v>
      </c>
      <c r="D44" s="16" t="n">
        <v>120</v>
      </c>
      <c r="E44" s="16" t="n">
        <v>165</v>
      </c>
      <c r="F44" s="16" t="n">
        <v>221</v>
      </c>
      <c r="G44" s="16"/>
    </row>
    <row r="45" customFormat="false" ht="14.25" hidden="false" customHeight="true" outlineLevel="0" collapsed="false">
      <c r="A45" s="15" t="s">
        <v>81</v>
      </c>
      <c r="B45" s="15"/>
      <c r="C45" s="16" t="n">
        <v>210</v>
      </c>
      <c r="D45" s="16" t="n">
        <v>25</v>
      </c>
      <c r="E45" s="16" t="n">
        <v>120</v>
      </c>
      <c r="F45" s="16" t="n">
        <v>150</v>
      </c>
      <c r="G45" s="16"/>
    </row>
    <row r="46" customFormat="false" ht="14.25" hidden="false" customHeight="true" outlineLevel="0" collapsed="false">
      <c r="A46" s="15" t="s">
        <v>82</v>
      </c>
      <c r="B46" s="15"/>
      <c r="C46" s="16" t="n">
        <v>50</v>
      </c>
      <c r="D46" s="16" t="n">
        <v>25</v>
      </c>
      <c r="E46" s="16" t="n">
        <v>130</v>
      </c>
      <c r="F46" s="16" t="n">
        <v>145</v>
      </c>
      <c r="G46" s="16"/>
    </row>
    <row r="47" customFormat="false" ht="14.25" hidden="false" customHeight="true" outlineLevel="0" collapsed="false">
      <c r="A47" s="15" t="s">
        <v>83</v>
      </c>
      <c r="B47" s="15"/>
      <c r="C47" s="16" t="n">
        <v>225</v>
      </c>
      <c r="D47" s="16" t="n">
        <v>25</v>
      </c>
      <c r="E47" s="16" t="n">
        <v>125</v>
      </c>
      <c r="F47" s="16" t="n">
        <v>140</v>
      </c>
      <c r="G47" s="16"/>
    </row>
    <row r="48" customFormat="false" ht="14.25" hidden="false" customHeight="true" outlineLevel="0" collapsed="false">
      <c r="A48" s="15" t="s">
        <v>84</v>
      </c>
      <c r="B48" s="15"/>
      <c r="C48" s="16" t="n">
        <v>150</v>
      </c>
      <c r="D48" s="16" t="n">
        <v>25</v>
      </c>
      <c r="E48" s="16" t="n">
        <v>125</v>
      </c>
      <c r="F48" s="16" t="n">
        <v>157</v>
      </c>
      <c r="G48" s="16"/>
    </row>
    <row r="49" customFormat="false" ht="14.25" hidden="false" customHeight="true" outlineLevel="0" collapsed="false">
      <c r="A49" s="15" t="s">
        <v>85</v>
      </c>
      <c r="B49" s="15"/>
      <c r="C49" s="16" t="n">
        <v>225</v>
      </c>
      <c r="D49" s="16" t="n">
        <v>25</v>
      </c>
      <c r="E49" s="16" t="n">
        <v>100</v>
      </c>
      <c r="F49" s="16" t="n">
        <v>120</v>
      </c>
      <c r="G49" s="16"/>
    </row>
    <row r="50" customFormat="false" ht="14.25" hidden="false" customHeight="true" outlineLevel="0" collapsed="false">
      <c r="A50" s="15" t="s">
        <v>86</v>
      </c>
      <c r="B50" s="15"/>
      <c r="C50" s="16" t="n">
        <v>157</v>
      </c>
      <c r="D50" s="16" t="n">
        <v>25</v>
      </c>
      <c r="E50" s="16" t="n">
        <v>100</v>
      </c>
      <c r="F50" s="16" t="n">
        <v>120</v>
      </c>
      <c r="G50" s="16"/>
    </row>
    <row r="51" customFormat="false" ht="14.25" hidden="false" customHeight="true" outlineLevel="0" collapsed="false">
      <c r="A51" s="15" t="s">
        <v>87</v>
      </c>
      <c r="B51" s="15"/>
      <c r="C51" s="16" t="n">
        <v>50</v>
      </c>
      <c r="D51" s="16" t="n">
        <v>120</v>
      </c>
      <c r="E51" s="16" t="n">
        <v>250</v>
      </c>
      <c r="F51" s="16" t="n">
        <v>280</v>
      </c>
      <c r="G51" s="16"/>
    </row>
    <row r="52" customFormat="false" ht="14.25" hidden="false" customHeight="true" outlineLevel="0" collapsed="false">
      <c r="A52" s="15" t="s">
        <v>88</v>
      </c>
      <c r="B52" s="15"/>
      <c r="C52" s="16" t="n">
        <v>72</v>
      </c>
      <c r="D52" s="16" t="n">
        <v>25</v>
      </c>
      <c r="E52" s="16" t="n">
        <v>100</v>
      </c>
      <c r="F52" s="16" t="n">
        <v>125</v>
      </c>
      <c r="G52" s="16"/>
    </row>
    <row r="53" customFormat="false" ht="14.25" hidden="false" customHeight="true" outlineLevel="0" collapsed="false">
      <c r="A53" s="15" t="s">
        <v>89</v>
      </c>
      <c r="B53" s="15"/>
      <c r="C53" s="16" t="n">
        <v>28</v>
      </c>
      <c r="D53" s="16" t="n">
        <v>110</v>
      </c>
      <c r="E53" s="16" t="n">
        <v>105</v>
      </c>
      <c r="F53" s="16" t="n">
        <v>130</v>
      </c>
      <c r="G53" s="16"/>
    </row>
    <row r="54" customFormat="false" ht="14.25" hidden="false" customHeight="true" outlineLevel="0" collapsed="false">
      <c r="A54" s="15" t="s">
        <v>90</v>
      </c>
      <c r="B54" s="15"/>
      <c r="C54" s="16" t="n">
        <v>0</v>
      </c>
      <c r="D54" s="16" t="n">
        <v>120</v>
      </c>
      <c r="E54" s="16" t="n">
        <v>85</v>
      </c>
      <c r="F54" s="16" t="n">
        <v>103</v>
      </c>
      <c r="G54" s="16"/>
    </row>
    <row r="55" customFormat="false" ht="14.25" hidden="false" customHeight="true" outlineLevel="0" collapsed="false">
      <c r="A55" s="15" t="s">
        <v>91</v>
      </c>
      <c r="B55" s="15"/>
      <c r="C55" s="16" t="n">
        <v>220</v>
      </c>
      <c r="D55" s="16" t="n">
        <v>200</v>
      </c>
      <c r="E55" s="16" t="n">
        <v>160</v>
      </c>
      <c r="F55" s="16" t="n">
        <v>270</v>
      </c>
      <c r="G55" s="16"/>
    </row>
    <row r="56" customFormat="false" ht="14.25" hidden="false" customHeight="true" outlineLevel="0" collapsed="false">
      <c r="A56" s="15" t="s">
        <v>92</v>
      </c>
      <c r="B56" s="15"/>
      <c r="C56" s="16" t="n">
        <v>991</v>
      </c>
      <c r="D56" s="16" t="n">
        <v>50</v>
      </c>
      <c r="E56" s="16" t="n">
        <v>45</v>
      </c>
      <c r="F56" s="16" t="n">
        <v>245</v>
      </c>
      <c r="G56" s="16"/>
    </row>
    <row r="58" customFormat="false" ht="14.25" hidden="false" customHeight="true" outlineLevel="0" collapsed="false">
      <c r="C58" s="1" t="n">
        <f aca="false">SUM(C2:C57)</f>
        <v>66590.3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3"/>
  <sheetViews>
    <sheetView showFormulas="false" showGridLines="true" showRowColHeaders="true" showZeros="true" rightToLeft="false" tabSelected="false" showOutlineSymbols="true" defaultGridColor="true" view="normal" topLeftCell="A412" colorId="64" zoomScale="100" zoomScaleNormal="100" zoomScalePageLayoutView="100" workbookViewId="0">
      <selection pane="topLeft" activeCell="N591" activeCellId="0" sqref="N59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26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4"/>
  </cols>
  <sheetData>
    <row r="1" customFormat="false" ht="14.25" hidden="false" customHeight="true" outlineLevel="0" collapsed="false">
      <c r="A1" s="14" t="s">
        <v>93</v>
      </c>
      <c r="B1" s="14" t="s">
        <v>94</v>
      </c>
      <c r="C1" s="14" t="s">
        <v>95</v>
      </c>
      <c r="D1" s="14" t="s">
        <v>96</v>
      </c>
      <c r="E1" s="14" t="s">
        <v>97</v>
      </c>
      <c r="F1" s="14" t="s">
        <v>98</v>
      </c>
      <c r="G1" s="14" t="s">
        <v>27</v>
      </c>
      <c r="H1" s="14" t="s">
        <v>99</v>
      </c>
      <c r="I1" s="17" t="s">
        <v>100</v>
      </c>
    </row>
    <row r="2" customFormat="false" ht="14.25" hidden="false" customHeight="true" outlineLevel="0" collapsed="false">
      <c r="A2" s="15" t="n">
        <v>1</v>
      </c>
      <c r="B2" s="18" t="n">
        <v>46113</v>
      </c>
      <c r="C2" s="16" t="s">
        <v>101</v>
      </c>
      <c r="D2" s="16" t="s">
        <v>102</v>
      </c>
      <c r="E2" s="16" t="n">
        <v>1</v>
      </c>
      <c r="F2" s="16" t="s">
        <v>103</v>
      </c>
      <c r="G2" s="16" t="s">
        <v>57</v>
      </c>
      <c r="H2" s="16" t="n">
        <v>75</v>
      </c>
      <c r="I2" s="19" t="n">
        <f aca="false">IFERROR(IF(D2="Sale",H2*VLOOKUP(G2,Product_Master!$A:$F,6,FALSE()),IF(D2="Purchase",H2*VLOOKUP(G2,Product_Master!$A:$F,5,FALSE()),0)),0)</f>
        <v>9450</v>
      </c>
    </row>
    <row r="3" customFormat="false" ht="14.25" hidden="false" customHeight="true" outlineLevel="0" collapsed="false">
      <c r="A3" s="15" t="n">
        <v>2</v>
      </c>
      <c r="B3" s="18" t="n">
        <v>46113</v>
      </c>
      <c r="C3" s="16" t="s">
        <v>101</v>
      </c>
      <c r="D3" s="16" t="s">
        <v>102</v>
      </c>
      <c r="E3" s="16" t="n">
        <v>1</v>
      </c>
      <c r="F3" s="16" t="s">
        <v>103</v>
      </c>
      <c r="G3" s="16" t="s">
        <v>74</v>
      </c>
      <c r="H3" s="16" t="n">
        <v>75</v>
      </c>
      <c r="I3" s="19" t="n">
        <f aca="false">IFERROR(IF(D3="Sale",H3*VLOOKUP(G3,Product_Master!$A:$F,6,FALSE()),IF(D3="Purchase",H3*VLOOKUP(G3,Product_Master!$A:$F,5,FALSE()),0)),0)</f>
        <v>12000</v>
      </c>
    </row>
    <row r="4" customFormat="false" ht="14.25" hidden="false" customHeight="true" outlineLevel="0" collapsed="false">
      <c r="A4" s="15" t="n">
        <v>3</v>
      </c>
      <c r="B4" s="18" t="n">
        <v>46113</v>
      </c>
      <c r="C4" s="16" t="s">
        <v>101</v>
      </c>
      <c r="D4" s="16" t="s">
        <v>102</v>
      </c>
      <c r="E4" s="16" t="n">
        <v>1</v>
      </c>
      <c r="F4" s="16" t="s">
        <v>103</v>
      </c>
      <c r="G4" s="16" t="s">
        <v>79</v>
      </c>
      <c r="H4" s="16" t="n">
        <v>75</v>
      </c>
      <c r="I4" s="19" t="n">
        <f aca="false">IFERROR(IF(D4="Sale",H4*VLOOKUP(G4,Product_Master!$A:$F,6,FALSE()),IF(D4="Purchase",H4*VLOOKUP(G4,Product_Master!$A:$F,5,FALSE()),0)),0)</f>
        <v>9000</v>
      </c>
    </row>
    <row r="5" customFormat="false" ht="14.25" hidden="false" customHeight="true" outlineLevel="0" collapsed="false">
      <c r="A5" s="15" t="n">
        <v>4</v>
      </c>
      <c r="B5" s="18" t="n">
        <v>46113</v>
      </c>
      <c r="C5" s="16" t="s">
        <v>101</v>
      </c>
      <c r="D5" s="16" t="s">
        <v>102</v>
      </c>
      <c r="E5" s="16" t="n">
        <v>2</v>
      </c>
      <c r="F5" s="16" t="s">
        <v>104</v>
      </c>
      <c r="G5" s="16" t="s">
        <v>42</v>
      </c>
      <c r="H5" s="16" t="n">
        <v>720</v>
      </c>
      <c r="I5" s="19" t="n">
        <f aca="false">IFERROR(IF(D5="Sale",H5*VLOOKUP(G5,Product_Master!$A:$F,6,FALSE()),IF(D5="Purchase",H5*VLOOKUP(G5,Product_Master!$A:$F,5,FALSE()),0)),0)</f>
        <v>80640</v>
      </c>
    </row>
    <row r="6" customFormat="false" ht="14.25" hidden="false" customHeight="true" outlineLevel="0" collapsed="false">
      <c r="A6" s="15" t="n">
        <v>5</v>
      </c>
      <c r="B6" s="18" t="n">
        <v>46113</v>
      </c>
      <c r="C6" s="16" t="s">
        <v>101</v>
      </c>
      <c r="D6" s="16" t="s">
        <v>102</v>
      </c>
      <c r="E6" s="16" t="n">
        <v>2</v>
      </c>
      <c r="F6" s="16" t="s">
        <v>104</v>
      </c>
      <c r="G6" s="16" t="s">
        <v>73</v>
      </c>
      <c r="H6" s="16" t="n">
        <v>200</v>
      </c>
      <c r="I6" s="19" t="n">
        <f aca="false">IFERROR(IF(D6="Sale",H6*VLOOKUP(G6,Product_Master!$A:$F,6,FALSE()),IF(D6="Purchase",H6*VLOOKUP(G6,Product_Master!$A:$F,5,FALSE()),0)),0)</f>
        <v>28000</v>
      </c>
    </row>
    <row r="7" customFormat="false" ht="14.25" hidden="false" customHeight="true" outlineLevel="0" collapsed="false">
      <c r="A7" s="15" t="n">
        <v>6</v>
      </c>
      <c r="B7" s="18" t="n">
        <v>46113</v>
      </c>
      <c r="C7" s="16" t="s">
        <v>101</v>
      </c>
      <c r="D7" s="16" t="s">
        <v>102</v>
      </c>
      <c r="E7" s="16" t="n">
        <v>3</v>
      </c>
      <c r="F7" s="16" t="s">
        <v>104</v>
      </c>
      <c r="G7" s="16" t="s">
        <v>42</v>
      </c>
      <c r="H7" s="16" t="n">
        <v>720</v>
      </c>
      <c r="I7" s="19" t="n">
        <f aca="false">IFERROR(IF(D7="Sale",H7*VLOOKUP(G7,Product_Master!$A:$F,6,FALSE()),IF(D7="Purchase",H7*VLOOKUP(G7,Product_Master!$A:$F,5,FALSE()),0)),0)</f>
        <v>80640</v>
      </c>
    </row>
    <row r="8" customFormat="false" ht="14.25" hidden="false" customHeight="true" outlineLevel="0" collapsed="false">
      <c r="A8" s="15" t="n">
        <v>7</v>
      </c>
      <c r="B8" s="18" t="n">
        <v>46113</v>
      </c>
      <c r="C8" s="16" t="s">
        <v>101</v>
      </c>
      <c r="D8" s="16" t="s">
        <v>102</v>
      </c>
      <c r="E8" s="16" t="n">
        <v>3</v>
      </c>
      <c r="F8" s="16" t="s">
        <v>104</v>
      </c>
      <c r="G8" s="16" t="s">
        <v>73</v>
      </c>
      <c r="H8" s="16" t="n">
        <v>200</v>
      </c>
      <c r="I8" s="19" t="n">
        <f aca="false">IFERROR(IF(D8="Sale",H8*VLOOKUP(G8,Product_Master!$A:$F,6,FALSE()),IF(D8="Purchase",H8*VLOOKUP(G8,Product_Master!$A:$F,5,FALSE()),0)),0)</f>
        <v>28000</v>
      </c>
    </row>
    <row r="9" customFormat="false" ht="14.25" hidden="false" customHeight="true" outlineLevel="0" collapsed="false">
      <c r="A9" s="15" t="n">
        <v>8</v>
      </c>
      <c r="B9" s="18" t="n">
        <v>46113</v>
      </c>
      <c r="C9" s="16" t="s">
        <v>101</v>
      </c>
      <c r="D9" s="16" t="s">
        <v>102</v>
      </c>
      <c r="E9" s="16" t="n">
        <v>4</v>
      </c>
      <c r="F9" s="16" t="s">
        <v>105</v>
      </c>
      <c r="G9" s="16" t="s">
        <v>56</v>
      </c>
      <c r="H9" s="16" t="n">
        <v>5</v>
      </c>
      <c r="I9" s="19" t="n">
        <f aca="false">IFERROR(IF(D9="Sale",H9*VLOOKUP(G9,Product_Master!$A:$F,6,FALSE()),IF(D9="Purchase",H9*VLOOKUP(G9,Product_Master!$A:$F,5,FALSE()),0)),0)</f>
        <v>515</v>
      </c>
    </row>
    <row r="10" customFormat="false" ht="14.25" hidden="false" customHeight="true" outlineLevel="0" collapsed="false">
      <c r="A10" s="15" t="n">
        <v>9</v>
      </c>
      <c r="B10" s="18" t="n">
        <v>46113</v>
      </c>
      <c r="C10" s="16" t="s">
        <v>101</v>
      </c>
      <c r="D10" s="16" t="s">
        <v>102</v>
      </c>
      <c r="E10" s="16" t="n">
        <v>5</v>
      </c>
      <c r="F10" s="16" t="s">
        <v>106</v>
      </c>
      <c r="G10" s="16" t="s">
        <v>40</v>
      </c>
      <c r="H10" s="16" t="n">
        <v>720</v>
      </c>
      <c r="I10" s="19" t="n">
        <f aca="false">IFERROR(IF(D10="Sale",H10*VLOOKUP(G10,Product_Master!$A:$F,6,FALSE()),IF(D10="Purchase",H10*VLOOKUP(G10,Product_Master!$A:$F,5,FALSE()),0)),0)</f>
        <v>73440</v>
      </c>
    </row>
    <row r="11" customFormat="false" ht="14.25" hidden="false" customHeight="true" outlineLevel="0" collapsed="false">
      <c r="A11" s="15" t="n">
        <v>10</v>
      </c>
      <c r="B11" s="18" t="n">
        <v>46113</v>
      </c>
      <c r="C11" s="16" t="s">
        <v>101</v>
      </c>
      <c r="D11" s="16" t="s">
        <v>102</v>
      </c>
      <c r="E11" s="16" t="n">
        <v>5</v>
      </c>
      <c r="F11" s="16" t="s">
        <v>106</v>
      </c>
      <c r="G11" s="16" t="s">
        <v>41</v>
      </c>
      <c r="H11" s="16" t="n">
        <v>720</v>
      </c>
      <c r="I11" s="19" t="n">
        <f aca="false">IFERROR(IF(D11="Sale",H11*VLOOKUP(G11,Product_Master!$A:$F,6,FALSE()),IF(D11="Purchase",H11*VLOOKUP(G11,Product_Master!$A:$F,5,FALSE()),0)),0)</f>
        <v>79920</v>
      </c>
    </row>
    <row r="12" customFormat="false" ht="14.25" hidden="false" customHeight="true" outlineLevel="0" collapsed="false">
      <c r="A12" s="15" t="n">
        <v>11</v>
      </c>
      <c r="B12" s="18" t="n">
        <v>46113</v>
      </c>
      <c r="C12" s="16" t="s">
        <v>101</v>
      </c>
      <c r="D12" s="16" t="s">
        <v>102</v>
      </c>
      <c r="E12" s="16" t="n">
        <v>5</v>
      </c>
      <c r="F12" s="16" t="s">
        <v>106</v>
      </c>
      <c r="G12" s="16" t="s">
        <v>56</v>
      </c>
      <c r="H12" s="16" t="n">
        <v>360</v>
      </c>
      <c r="I12" s="19" t="n">
        <f aca="false">IFERROR(IF(D12="Sale",H12*VLOOKUP(G12,Product_Master!$A:$F,6,FALSE()),IF(D12="Purchase",H12*VLOOKUP(G12,Product_Master!$A:$F,5,FALSE()),0)),0)</f>
        <v>37080</v>
      </c>
    </row>
    <row r="13" customFormat="false" ht="14.25" hidden="false" customHeight="true" outlineLevel="0" collapsed="false">
      <c r="A13" s="15" t="n">
        <v>12</v>
      </c>
      <c r="B13" s="18" t="n">
        <v>46113</v>
      </c>
      <c r="C13" s="16" t="s">
        <v>101</v>
      </c>
      <c r="D13" s="16" t="s">
        <v>102</v>
      </c>
      <c r="E13" s="16" t="n">
        <v>6</v>
      </c>
      <c r="F13" s="16" t="s">
        <v>107</v>
      </c>
      <c r="G13" s="16" t="s">
        <v>41</v>
      </c>
      <c r="H13" s="16" t="n">
        <v>120</v>
      </c>
      <c r="I13" s="19" t="n">
        <f aca="false">IFERROR(IF(D13="Sale",H13*VLOOKUP(G13,Product_Master!$A:$F,6,FALSE()),IF(D13="Purchase",H13*VLOOKUP(G13,Product_Master!$A:$F,5,FALSE()),0)),0)</f>
        <v>13320</v>
      </c>
    </row>
    <row r="14" customFormat="false" ht="14.25" hidden="false" customHeight="true" outlineLevel="0" collapsed="false">
      <c r="A14" s="15" t="n">
        <v>13</v>
      </c>
      <c r="B14" s="18" t="n">
        <v>46113</v>
      </c>
      <c r="C14" s="16" t="s">
        <v>101</v>
      </c>
      <c r="D14" s="16" t="s">
        <v>102</v>
      </c>
      <c r="E14" s="16" t="n">
        <v>6</v>
      </c>
      <c r="F14" s="16" t="s">
        <v>107</v>
      </c>
      <c r="G14" s="16" t="s">
        <v>44</v>
      </c>
      <c r="H14" s="16" t="n">
        <v>120</v>
      </c>
      <c r="I14" s="19" t="n">
        <f aca="false">IFERROR(IF(D14="Sale",H14*VLOOKUP(G14,Product_Master!$A:$F,6,FALSE()),IF(D14="Purchase",H14*VLOOKUP(G14,Product_Master!$A:$F,5,FALSE()),0)),0)</f>
        <v>16200</v>
      </c>
    </row>
    <row r="15" customFormat="false" ht="14.25" hidden="false" customHeight="true" outlineLevel="0" collapsed="false">
      <c r="A15" s="15" t="n">
        <v>14</v>
      </c>
      <c r="B15" s="18" t="n">
        <v>46113</v>
      </c>
      <c r="C15" s="16" t="s">
        <v>101</v>
      </c>
      <c r="D15" s="16" t="s">
        <v>102</v>
      </c>
      <c r="E15" s="16" t="n">
        <v>6</v>
      </c>
      <c r="F15" s="16" t="s">
        <v>107</v>
      </c>
      <c r="G15" s="16" t="s">
        <v>46</v>
      </c>
      <c r="H15" s="16" t="n">
        <v>120</v>
      </c>
      <c r="I15" s="19" t="n">
        <f aca="false">IFERROR(IF(D15="Sale",H15*VLOOKUP(G15,Product_Master!$A:$F,6,FALSE()),IF(D15="Purchase",H15*VLOOKUP(G15,Product_Master!$A:$F,5,FALSE()),0)),0)</f>
        <v>21000</v>
      </c>
    </row>
    <row r="16" customFormat="false" ht="14.25" hidden="false" customHeight="true" outlineLevel="0" collapsed="false">
      <c r="A16" s="15" t="n">
        <v>15</v>
      </c>
      <c r="B16" s="18" t="n">
        <v>46113</v>
      </c>
      <c r="C16" s="16" t="s">
        <v>101</v>
      </c>
      <c r="D16" s="16" t="s">
        <v>102</v>
      </c>
      <c r="E16" s="16" t="n">
        <v>7</v>
      </c>
      <c r="F16" s="16" t="s">
        <v>108</v>
      </c>
      <c r="G16" s="16" t="s">
        <v>41</v>
      </c>
      <c r="H16" s="16" t="n">
        <v>720</v>
      </c>
      <c r="I16" s="19" t="n">
        <f aca="false">IFERROR(IF(D16="Sale",H16*VLOOKUP(G16,Product_Master!$A:$F,6,FALSE()),IF(D16="Purchase",H16*VLOOKUP(G16,Product_Master!$A:$F,5,FALSE()),0)),0)</f>
        <v>79920</v>
      </c>
    </row>
    <row r="17" customFormat="false" ht="14.25" hidden="false" customHeight="true" outlineLevel="0" collapsed="false">
      <c r="A17" s="15" t="n">
        <v>16</v>
      </c>
      <c r="B17" s="18" t="n">
        <v>46113</v>
      </c>
      <c r="C17" s="16" t="s">
        <v>101</v>
      </c>
      <c r="D17" s="16" t="s">
        <v>102</v>
      </c>
      <c r="E17" s="16" t="n">
        <v>7</v>
      </c>
      <c r="F17" s="16" t="s">
        <v>108</v>
      </c>
      <c r="G17" s="16" t="s">
        <v>42</v>
      </c>
      <c r="H17" s="16" t="n">
        <v>720</v>
      </c>
      <c r="I17" s="19" t="n">
        <f aca="false">IFERROR(IF(D17="Sale",H17*VLOOKUP(G17,Product_Master!$A:$F,6,FALSE()),IF(D17="Purchase",H17*VLOOKUP(G17,Product_Master!$A:$F,5,FALSE()),0)),0)</f>
        <v>80640</v>
      </c>
    </row>
    <row r="18" customFormat="false" ht="14.25" hidden="false" customHeight="true" outlineLevel="0" collapsed="false">
      <c r="A18" s="15" t="n">
        <v>17</v>
      </c>
      <c r="B18" s="18" t="n">
        <v>46113</v>
      </c>
      <c r="C18" s="16" t="s">
        <v>101</v>
      </c>
      <c r="D18" s="16" t="s">
        <v>102</v>
      </c>
      <c r="E18" s="16" t="n">
        <v>8</v>
      </c>
      <c r="F18" s="16" t="s">
        <v>109</v>
      </c>
      <c r="G18" s="16" t="s">
        <v>40</v>
      </c>
      <c r="H18" s="16" t="n">
        <v>120</v>
      </c>
      <c r="I18" s="19" t="n">
        <f aca="false">IFERROR(IF(D18="Sale",H18*VLOOKUP(G18,Product_Master!$A:$F,6,FALSE()),IF(D18="Purchase",H18*VLOOKUP(G18,Product_Master!$A:$F,5,FALSE()),0)),0)</f>
        <v>12240</v>
      </c>
    </row>
    <row r="19" customFormat="false" ht="14.25" hidden="false" customHeight="true" outlineLevel="0" collapsed="false">
      <c r="A19" s="15" t="n">
        <v>18</v>
      </c>
      <c r="B19" s="18" t="n">
        <v>46113</v>
      </c>
      <c r="C19" s="16" t="s">
        <v>101</v>
      </c>
      <c r="D19" s="16" t="s">
        <v>102</v>
      </c>
      <c r="E19" s="16" t="n">
        <v>8</v>
      </c>
      <c r="F19" s="16" t="s">
        <v>109</v>
      </c>
      <c r="G19" s="16" t="s">
        <v>41</v>
      </c>
      <c r="H19" s="16" t="n">
        <v>120</v>
      </c>
      <c r="I19" s="19" t="n">
        <f aca="false">IFERROR(IF(D19="Sale",H19*VLOOKUP(G19,Product_Master!$A:$F,6,FALSE()),IF(D19="Purchase",H19*VLOOKUP(G19,Product_Master!$A:$F,5,FALSE()),0)),0)</f>
        <v>13320</v>
      </c>
    </row>
    <row r="20" customFormat="false" ht="14.25" hidden="false" customHeight="true" outlineLevel="0" collapsed="false">
      <c r="A20" s="15" t="n">
        <v>19</v>
      </c>
      <c r="B20" s="18" t="n">
        <v>46113</v>
      </c>
      <c r="C20" s="16" t="s">
        <v>101</v>
      </c>
      <c r="D20" s="16" t="s">
        <v>102</v>
      </c>
      <c r="E20" s="16" t="n">
        <v>8</v>
      </c>
      <c r="F20" s="16" t="s">
        <v>109</v>
      </c>
      <c r="G20" s="16" t="s">
        <v>42</v>
      </c>
      <c r="H20" s="16" t="n">
        <v>120</v>
      </c>
      <c r="I20" s="19" t="n">
        <f aca="false">IFERROR(IF(D20="Sale",H20*VLOOKUP(G20,Product_Master!$A:$F,6,FALSE()),IF(D20="Purchase",H20*VLOOKUP(G20,Product_Master!$A:$F,5,FALSE()),0)),0)</f>
        <v>13440</v>
      </c>
    </row>
    <row r="21" customFormat="false" ht="14.25" hidden="false" customHeight="true" outlineLevel="0" collapsed="false">
      <c r="A21" s="15" t="n">
        <v>20</v>
      </c>
      <c r="B21" s="18" t="n">
        <v>46113</v>
      </c>
      <c r="C21" s="16" t="s">
        <v>101</v>
      </c>
      <c r="D21" s="16" t="s">
        <v>102</v>
      </c>
      <c r="E21" s="16" t="n">
        <v>8</v>
      </c>
      <c r="F21" s="16" t="s">
        <v>109</v>
      </c>
      <c r="G21" s="16" t="s">
        <v>43</v>
      </c>
      <c r="H21" s="16" t="n">
        <v>120</v>
      </c>
      <c r="I21" s="19" t="n">
        <f aca="false">IFERROR(IF(D21="Sale",H21*VLOOKUP(G21,Product_Master!$A:$F,6,FALSE()),IF(D21="Purchase",H21*VLOOKUP(G21,Product_Master!$A:$F,5,FALSE()),0)),0)</f>
        <v>19200</v>
      </c>
    </row>
    <row r="22" customFormat="false" ht="14.25" hidden="false" customHeight="true" outlineLevel="0" collapsed="false">
      <c r="A22" s="15" t="n">
        <v>21</v>
      </c>
      <c r="B22" s="18" t="n">
        <v>46113</v>
      </c>
      <c r="C22" s="16" t="s">
        <v>101</v>
      </c>
      <c r="D22" s="16" t="s">
        <v>102</v>
      </c>
      <c r="E22" s="16" t="n">
        <v>72</v>
      </c>
      <c r="F22" s="16" t="s">
        <v>110</v>
      </c>
      <c r="G22" s="16" t="s">
        <v>42</v>
      </c>
      <c r="H22" s="16" t="n">
        <v>240</v>
      </c>
      <c r="I22" s="19" t="n">
        <f aca="false">IFERROR(IF(D22="Sale",H22*VLOOKUP(G22,Product_Master!$A:$F,6,FALSE()),IF(D22="Purchase",H22*VLOOKUP(G22,Product_Master!$A:$F,5,FALSE()),0)),0)</f>
        <v>26880</v>
      </c>
    </row>
    <row r="23" customFormat="false" ht="14.25" hidden="false" customHeight="true" outlineLevel="0" collapsed="false">
      <c r="A23" s="15" t="n">
        <v>22</v>
      </c>
      <c r="B23" s="18" t="n">
        <v>46113</v>
      </c>
      <c r="C23" s="16" t="s">
        <v>101</v>
      </c>
      <c r="D23" s="16" t="s">
        <v>102</v>
      </c>
      <c r="E23" s="16" t="n">
        <v>72</v>
      </c>
      <c r="F23" s="16" t="s">
        <v>110</v>
      </c>
      <c r="G23" s="16" t="s">
        <v>43</v>
      </c>
      <c r="H23" s="16" t="n">
        <v>120</v>
      </c>
      <c r="I23" s="19" t="n">
        <f aca="false">IFERROR(IF(D23="Sale",H23*VLOOKUP(G23,Product_Master!$A:$F,6,FALSE()),IF(D23="Purchase",H23*VLOOKUP(G23,Product_Master!$A:$F,5,FALSE()),0)),0)</f>
        <v>19200</v>
      </c>
    </row>
    <row r="24" customFormat="false" ht="14.25" hidden="true" customHeight="true" outlineLevel="0" collapsed="false">
      <c r="A24" s="15" t="n">
        <v>23</v>
      </c>
      <c r="B24" s="18" t="n">
        <v>46114</v>
      </c>
      <c r="C24" s="16" t="s">
        <v>101</v>
      </c>
      <c r="D24" s="16" t="s">
        <v>111</v>
      </c>
      <c r="E24" s="16"/>
      <c r="F24" s="16" t="s">
        <v>112</v>
      </c>
      <c r="G24" s="16" t="s">
        <v>44</v>
      </c>
      <c r="H24" s="16" t="n">
        <v>2160</v>
      </c>
      <c r="I24" s="19" t="n">
        <f aca="false">IFERROR(IF(D24="Sale",H24*VLOOKUP(G24,Product_Master!$A:$F,6,FALSE()),IF(D24="Purchase",H24*VLOOKUP(G24,Product_Master!$A:$F,5,FALSE()),0)),0)</f>
        <v>280800</v>
      </c>
    </row>
    <row r="25" customFormat="false" ht="14.25" hidden="false" customHeight="true" outlineLevel="0" collapsed="false">
      <c r="A25" s="15" t="n">
        <v>24</v>
      </c>
      <c r="B25" s="18" t="n">
        <v>46114</v>
      </c>
      <c r="C25" s="16" t="s">
        <v>101</v>
      </c>
      <c r="D25" s="16" t="s">
        <v>102</v>
      </c>
      <c r="E25" s="16" t="n">
        <v>9</v>
      </c>
      <c r="F25" s="16" t="s">
        <v>113</v>
      </c>
      <c r="G25" s="16" t="s">
        <v>42</v>
      </c>
      <c r="H25" s="16" t="n">
        <v>120</v>
      </c>
      <c r="I25" s="19" t="n">
        <f aca="false">IFERROR(IF(D25="Sale",H25*VLOOKUP(G25,Product_Master!$A:$F,6,FALSE()),IF(D25="Purchase",H25*VLOOKUP(G25,Product_Master!$A:$F,5,FALSE()),0)),0)</f>
        <v>13440</v>
      </c>
    </row>
    <row r="26" customFormat="false" ht="14.25" hidden="false" customHeight="true" outlineLevel="0" collapsed="false">
      <c r="A26" s="15" t="n">
        <v>25</v>
      </c>
      <c r="B26" s="18" t="n">
        <v>46114</v>
      </c>
      <c r="C26" s="16" t="s">
        <v>101</v>
      </c>
      <c r="D26" s="16" t="s">
        <v>102</v>
      </c>
      <c r="E26" s="16" t="n">
        <v>10</v>
      </c>
      <c r="F26" s="16" t="s">
        <v>114</v>
      </c>
      <c r="G26" s="16" t="s">
        <v>39</v>
      </c>
      <c r="H26" s="16" t="n">
        <v>480</v>
      </c>
      <c r="I26" s="19" t="n">
        <f aca="false">IFERROR(IF(D26="Sale",H26*VLOOKUP(G26,Product_Master!$A:$F,6,FALSE()),IF(D26="Purchase",H26*VLOOKUP(G26,Product_Master!$A:$F,5,FALSE()),0)),0)</f>
        <v>50880</v>
      </c>
    </row>
    <row r="27" customFormat="false" ht="14.25" hidden="false" customHeight="true" outlineLevel="0" collapsed="false">
      <c r="A27" s="15" t="n">
        <v>26</v>
      </c>
      <c r="B27" s="18" t="n">
        <v>46114</v>
      </c>
      <c r="C27" s="16" t="s">
        <v>101</v>
      </c>
      <c r="D27" s="16" t="s">
        <v>102</v>
      </c>
      <c r="E27" s="16" t="n">
        <v>11</v>
      </c>
      <c r="F27" s="16" t="s">
        <v>115</v>
      </c>
      <c r="G27" s="16" t="s">
        <v>41</v>
      </c>
      <c r="H27" s="16" t="n">
        <v>240</v>
      </c>
      <c r="I27" s="19" t="n">
        <f aca="false">IFERROR(IF(D27="Sale",H27*VLOOKUP(G27,Product_Master!$A:$F,6,FALSE()),IF(D27="Purchase",H27*VLOOKUP(G27,Product_Master!$A:$F,5,FALSE()),0)),0)</f>
        <v>26640</v>
      </c>
    </row>
    <row r="28" customFormat="false" ht="14.25" hidden="false" customHeight="true" outlineLevel="0" collapsed="false">
      <c r="A28" s="15" t="n">
        <v>27</v>
      </c>
      <c r="B28" s="18" t="n">
        <v>46114</v>
      </c>
      <c r="C28" s="16" t="s">
        <v>101</v>
      </c>
      <c r="D28" s="16" t="s">
        <v>102</v>
      </c>
      <c r="E28" s="16" t="n">
        <v>12</v>
      </c>
      <c r="F28" s="16" t="s">
        <v>116</v>
      </c>
      <c r="G28" s="16" t="s">
        <v>40</v>
      </c>
      <c r="H28" s="16" t="n">
        <v>480</v>
      </c>
      <c r="I28" s="19" t="n">
        <f aca="false">IFERROR(IF(D28="Sale",H28*VLOOKUP(G28,Product_Master!$A:$F,6,FALSE()),IF(D28="Purchase",H28*VLOOKUP(G28,Product_Master!$A:$F,5,FALSE()),0)),0)</f>
        <v>48960</v>
      </c>
    </row>
    <row r="29" customFormat="false" ht="14.25" hidden="false" customHeight="true" outlineLevel="0" collapsed="false">
      <c r="A29" s="15" t="n">
        <v>28</v>
      </c>
      <c r="B29" s="18" t="n">
        <v>46114</v>
      </c>
      <c r="C29" s="16" t="s">
        <v>101</v>
      </c>
      <c r="D29" s="16" t="s">
        <v>102</v>
      </c>
      <c r="E29" s="16" t="n">
        <v>12</v>
      </c>
      <c r="F29" s="16" t="s">
        <v>116</v>
      </c>
      <c r="G29" s="16" t="s">
        <v>41</v>
      </c>
      <c r="H29" s="16" t="n">
        <v>480</v>
      </c>
      <c r="I29" s="19" t="n">
        <f aca="false">IFERROR(IF(D29="Sale",H29*VLOOKUP(G29,Product_Master!$A:$F,6,FALSE()),IF(D29="Purchase",H29*VLOOKUP(G29,Product_Master!$A:$F,5,FALSE()),0)),0)</f>
        <v>53280</v>
      </c>
    </row>
    <row r="30" customFormat="false" ht="14.25" hidden="false" customHeight="true" outlineLevel="0" collapsed="false">
      <c r="A30" s="15" t="n">
        <v>29</v>
      </c>
      <c r="B30" s="18" t="n">
        <v>46114</v>
      </c>
      <c r="C30" s="16" t="s">
        <v>101</v>
      </c>
      <c r="D30" s="16" t="s">
        <v>102</v>
      </c>
      <c r="E30" s="16" t="n">
        <v>13</v>
      </c>
      <c r="F30" s="16" t="s">
        <v>117</v>
      </c>
      <c r="G30" s="16" t="s">
        <v>38</v>
      </c>
      <c r="H30" s="16" t="n">
        <v>220</v>
      </c>
      <c r="I30" s="19" t="n">
        <f aca="false">IFERROR(IF(D30="Sale",H30*VLOOKUP(G30,Product_Master!$A:$F,6,FALSE()),IF(D30="Purchase",H30*VLOOKUP(G30,Product_Master!$A:$F,5,FALSE()),0)),0)</f>
        <v>20460</v>
      </c>
    </row>
    <row r="31" customFormat="false" ht="14.25" hidden="false" customHeight="true" outlineLevel="0" collapsed="false">
      <c r="A31" s="15" t="n">
        <v>30</v>
      </c>
      <c r="B31" s="18" t="n">
        <v>46114</v>
      </c>
      <c r="C31" s="16" t="s">
        <v>101</v>
      </c>
      <c r="D31" s="16" t="s">
        <v>102</v>
      </c>
      <c r="E31" s="16" t="n">
        <v>14</v>
      </c>
      <c r="F31" s="16" t="s">
        <v>118</v>
      </c>
      <c r="G31" s="16" t="s">
        <v>54</v>
      </c>
      <c r="H31" s="16" t="n">
        <v>50</v>
      </c>
      <c r="I31" s="19" t="n">
        <f aca="false">IFERROR(IF(D31="Sale",H31*VLOOKUP(G31,Product_Master!$A:$F,6,FALSE()),IF(D31="Purchase",H31*VLOOKUP(G31,Product_Master!$A:$F,5,FALSE()),0)),0)</f>
        <v>7750</v>
      </c>
    </row>
    <row r="32" customFormat="false" ht="14.25" hidden="false" customHeight="true" outlineLevel="0" collapsed="false">
      <c r="A32" s="15" t="n">
        <v>31</v>
      </c>
      <c r="B32" s="18" t="n">
        <v>46114</v>
      </c>
      <c r="C32" s="16" t="s">
        <v>101</v>
      </c>
      <c r="D32" s="16" t="s">
        <v>102</v>
      </c>
      <c r="E32" s="16" t="n">
        <v>15</v>
      </c>
      <c r="F32" s="16" t="s">
        <v>119</v>
      </c>
      <c r="G32" s="16" t="s">
        <v>41</v>
      </c>
      <c r="H32" s="16" t="n">
        <v>120</v>
      </c>
      <c r="I32" s="19" t="n">
        <f aca="false">IFERROR(IF(D32="Sale",H32*VLOOKUP(G32,Product_Master!$A:$F,6,FALSE()),IF(D32="Purchase",H32*VLOOKUP(G32,Product_Master!$A:$F,5,FALSE()),0)),0)</f>
        <v>13320</v>
      </c>
    </row>
    <row r="33" customFormat="false" ht="14.25" hidden="false" customHeight="true" outlineLevel="0" collapsed="false">
      <c r="A33" s="15" t="n">
        <v>32</v>
      </c>
      <c r="B33" s="18" t="n">
        <v>46114</v>
      </c>
      <c r="C33" s="16" t="s">
        <v>101</v>
      </c>
      <c r="D33" s="16" t="s">
        <v>102</v>
      </c>
      <c r="E33" s="16" t="n">
        <v>15</v>
      </c>
      <c r="F33" s="16" t="s">
        <v>119</v>
      </c>
      <c r="G33" s="16" t="s">
        <v>46</v>
      </c>
      <c r="H33" s="16" t="n">
        <v>120</v>
      </c>
      <c r="I33" s="19" t="n">
        <f aca="false">IFERROR(IF(D33="Sale",H33*VLOOKUP(G33,Product_Master!$A:$F,6,FALSE()),IF(D33="Purchase",H33*VLOOKUP(G33,Product_Master!$A:$F,5,FALSE()),0)),0)</f>
        <v>21000</v>
      </c>
    </row>
    <row r="34" customFormat="false" ht="14.25" hidden="false" customHeight="true" outlineLevel="0" collapsed="false">
      <c r="A34" s="15" t="n">
        <v>33</v>
      </c>
      <c r="B34" s="18" t="n">
        <v>46114</v>
      </c>
      <c r="C34" s="16" t="s">
        <v>101</v>
      </c>
      <c r="D34" s="16" t="s">
        <v>102</v>
      </c>
      <c r="E34" s="16" t="n">
        <v>73</v>
      </c>
      <c r="F34" s="16" t="s">
        <v>120</v>
      </c>
      <c r="G34" s="16" t="s">
        <v>80</v>
      </c>
      <c r="H34" s="16" t="n">
        <v>120</v>
      </c>
      <c r="I34" s="19" t="n">
        <f aca="false">IFERROR(IF(D34="Sale",H34*VLOOKUP(G34,Product_Master!$A:$F,6,FALSE()),IF(D34="Purchase",H34*VLOOKUP(G34,Product_Master!$A:$F,5,FALSE()),0)),0)</f>
        <v>26520</v>
      </c>
    </row>
    <row r="35" customFormat="false" ht="14.25" hidden="false" customHeight="true" outlineLevel="0" collapsed="false">
      <c r="A35" s="15" t="n">
        <v>34</v>
      </c>
      <c r="B35" s="18" t="n">
        <v>46115</v>
      </c>
      <c r="C35" s="16" t="s">
        <v>101</v>
      </c>
      <c r="D35" s="16" t="s">
        <v>102</v>
      </c>
      <c r="E35" s="16" t="n">
        <v>16</v>
      </c>
      <c r="F35" s="16" t="s">
        <v>121</v>
      </c>
      <c r="G35" s="16" t="s">
        <v>42</v>
      </c>
      <c r="H35" s="16" t="n">
        <v>120</v>
      </c>
      <c r="I35" s="19" t="n">
        <f aca="false">IFERROR(IF(D35="Sale",H35*VLOOKUP(G35,Product_Master!$A:$F,6,FALSE()),IF(D35="Purchase",H35*VLOOKUP(G35,Product_Master!$A:$F,5,FALSE()),0)),0)</f>
        <v>13440</v>
      </c>
    </row>
    <row r="36" customFormat="false" ht="14.25" hidden="false" customHeight="true" outlineLevel="0" collapsed="false">
      <c r="A36" s="15" t="n">
        <v>35</v>
      </c>
      <c r="B36" s="18" t="n">
        <v>46115</v>
      </c>
      <c r="C36" s="16" t="s">
        <v>101</v>
      </c>
      <c r="D36" s="16" t="s">
        <v>102</v>
      </c>
      <c r="E36" s="16" t="n">
        <v>17</v>
      </c>
      <c r="F36" s="16" t="s">
        <v>122</v>
      </c>
      <c r="G36" s="16" t="s">
        <v>60</v>
      </c>
      <c r="H36" s="16" t="n">
        <v>240</v>
      </c>
      <c r="I36" s="19" t="n">
        <f aca="false">IFERROR(IF(D36="Sale",H36*VLOOKUP(G36,Product_Master!$A:$F,6,FALSE()),IF(D36="Purchase",H36*VLOOKUP(G36,Product_Master!$A:$F,5,FALSE()),0)),0)</f>
        <v>47520</v>
      </c>
    </row>
    <row r="37" customFormat="false" ht="14.25" hidden="false" customHeight="true" outlineLevel="0" collapsed="false">
      <c r="A37" s="15" t="n">
        <v>36</v>
      </c>
      <c r="B37" s="18" t="n">
        <v>46115</v>
      </c>
      <c r="C37" s="16" t="s">
        <v>101</v>
      </c>
      <c r="D37" s="16" t="s">
        <v>102</v>
      </c>
      <c r="E37" s="16" t="n">
        <v>18</v>
      </c>
      <c r="F37" s="16" t="s">
        <v>123</v>
      </c>
      <c r="G37" s="16" t="s">
        <v>50</v>
      </c>
      <c r="H37" s="16" t="n">
        <v>500</v>
      </c>
      <c r="I37" s="19" t="n">
        <f aca="false">IFERROR(IF(D37="Sale",H37*VLOOKUP(G37,Product_Master!$A:$F,6,FALSE()),IF(D37="Purchase",H37*VLOOKUP(G37,Product_Master!$A:$F,5,FALSE()),0)),0)</f>
        <v>112500</v>
      </c>
    </row>
    <row r="38" customFormat="false" ht="14.25" hidden="false" customHeight="true" outlineLevel="0" collapsed="false">
      <c r="A38" s="15" t="n">
        <v>37</v>
      </c>
      <c r="B38" s="18" t="n">
        <v>46115</v>
      </c>
      <c r="C38" s="16" t="s">
        <v>101</v>
      </c>
      <c r="D38" s="16" t="s">
        <v>102</v>
      </c>
      <c r="E38" s="16" t="n">
        <v>19</v>
      </c>
      <c r="F38" s="16" t="s">
        <v>124</v>
      </c>
      <c r="G38" s="16" t="s">
        <v>38</v>
      </c>
      <c r="H38" s="16" t="n">
        <v>220</v>
      </c>
      <c r="I38" s="19" t="n">
        <f aca="false">IFERROR(IF(D38="Sale",H38*VLOOKUP(G38,Product_Master!$A:$F,6,FALSE()),IF(D38="Purchase",H38*VLOOKUP(G38,Product_Master!$A:$F,5,FALSE()),0)),0)</f>
        <v>20460</v>
      </c>
    </row>
    <row r="39" customFormat="false" ht="14.25" hidden="false" customHeight="true" outlineLevel="0" collapsed="false">
      <c r="A39" s="15" t="n">
        <v>38</v>
      </c>
      <c r="B39" s="18" t="n">
        <v>46115</v>
      </c>
      <c r="C39" s="16" t="s">
        <v>101</v>
      </c>
      <c r="D39" s="16" t="s">
        <v>102</v>
      </c>
      <c r="E39" s="16" t="n">
        <v>20</v>
      </c>
      <c r="F39" s="16" t="s">
        <v>109</v>
      </c>
      <c r="G39" s="16" t="s">
        <v>40</v>
      </c>
      <c r="H39" s="16" t="n">
        <v>120</v>
      </c>
      <c r="I39" s="19" t="n">
        <f aca="false">IFERROR(IF(D39="Sale",H39*VLOOKUP(G39,Product_Master!$A:$F,6,FALSE()),IF(D39="Purchase",H39*VLOOKUP(G39,Product_Master!$A:$F,5,FALSE()),0)),0)</f>
        <v>12240</v>
      </c>
    </row>
    <row r="40" customFormat="false" ht="14.25" hidden="false" customHeight="true" outlineLevel="0" collapsed="false">
      <c r="A40" s="15" t="n">
        <v>39</v>
      </c>
      <c r="B40" s="18" t="n">
        <v>46115</v>
      </c>
      <c r="C40" s="16" t="s">
        <v>101</v>
      </c>
      <c r="D40" s="16" t="s">
        <v>102</v>
      </c>
      <c r="E40" s="16" t="n">
        <v>20</v>
      </c>
      <c r="F40" s="16" t="s">
        <v>109</v>
      </c>
      <c r="G40" s="16" t="s">
        <v>41</v>
      </c>
      <c r="H40" s="16" t="n">
        <v>120</v>
      </c>
      <c r="I40" s="19" t="n">
        <f aca="false">IFERROR(IF(D40="Sale",H40*VLOOKUP(G40,Product_Master!$A:$F,6,FALSE()),IF(D40="Purchase",H40*VLOOKUP(G40,Product_Master!$A:$F,5,FALSE()),0)),0)</f>
        <v>13320</v>
      </c>
    </row>
    <row r="41" customFormat="false" ht="14.25" hidden="false" customHeight="true" outlineLevel="0" collapsed="false">
      <c r="A41" s="15" t="n">
        <v>40</v>
      </c>
      <c r="B41" s="18" t="n">
        <v>46115</v>
      </c>
      <c r="C41" s="16" t="s">
        <v>101</v>
      </c>
      <c r="D41" s="16" t="s">
        <v>102</v>
      </c>
      <c r="E41" s="16" t="n">
        <v>20</v>
      </c>
      <c r="F41" s="16" t="s">
        <v>109</v>
      </c>
      <c r="G41" s="16" t="s">
        <v>42</v>
      </c>
      <c r="H41" s="16" t="n">
        <v>120</v>
      </c>
      <c r="I41" s="19" t="n">
        <f aca="false">IFERROR(IF(D41="Sale",H41*VLOOKUP(G41,Product_Master!$A:$F,6,FALSE()),IF(D41="Purchase",H41*VLOOKUP(G41,Product_Master!$A:$F,5,FALSE()),0)),0)</f>
        <v>13440</v>
      </c>
    </row>
    <row r="42" customFormat="false" ht="14.25" hidden="false" customHeight="true" outlineLevel="0" collapsed="false">
      <c r="A42" s="15" t="n">
        <v>41</v>
      </c>
      <c r="B42" s="18" t="n">
        <v>46115</v>
      </c>
      <c r="C42" s="16" t="s">
        <v>101</v>
      </c>
      <c r="D42" s="16" t="s">
        <v>102</v>
      </c>
      <c r="E42" s="16" t="n">
        <v>20</v>
      </c>
      <c r="F42" s="16" t="s">
        <v>109</v>
      </c>
      <c r="G42" s="16" t="s">
        <v>43</v>
      </c>
      <c r="H42" s="16" t="n">
        <v>120</v>
      </c>
      <c r="I42" s="19" t="n">
        <f aca="false">IFERROR(IF(D42="Sale",H42*VLOOKUP(G42,Product_Master!$A:$F,6,FALSE()),IF(D42="Purchase",H42*VLOOKUP(G42,Product_Master!$A:$F,5,FALSE()),0)),0)</f>
        <v>19200</v>
      </c>
    </row>
    <row r="43" customFormat="false" ht="14.25" hidden="false" customHeight="true" outlineLevel="0" collapsed="false">
      <c r="A43" s="15" t="n">
        <v>42</v>
      </c>
      <c r="B43" s="18" t="n">
        <v>46115</v>
      </c>
      <c r="C43" s="16" t="s">
        <v>101</v>
      </c>
      <c r="D43" s="16" t="s">
        <v>102</v>
      </c>
      <c r="E43" s="16" t="n">
        <v>20</v>
      </c>
      <c r="F43" s="16" t="s">
        <v>109</v>
      </c>
      <c r="G43" s="16" t="s">
        <v>45</v>
      </c>
      <c r="H43" s="16" t="n">
        <v>150</v>
      </c>
      <c r="I43" s="19" t="n">
        <f aca="false">IFERROR(IF(D43="Sale",H43*VLOOKUP(G43,Product_Master!$A:$F,6,FALSE()),IF(D43="Purchase",H43*VLOOKUP(G43,Product_Master!$A:$F,5,FALSE()),0)),0)</f>
        <v>27750</v>
      </c>
    </row>
    <row r="44" customFormat="false" ht="14.25" hidden="false" customHeight="true" outlineLevel="0" collapsed="false">
      <c r="A44" s="15" t="n">
        <v>43</v>
      </c>
      <c r="B44" s="18" t="n">
        <v>46115</v>
      </c>
      <c r="C44" s="16" t="s">
        <v>101</v>
      </c>
      <c r="D44" s="16" t="s">
        <v>102</v>
      </c>
      <c r="E44" s="16" t="n">
        <v>21</v>
      </c>
      <c r="F44" s="16" t="s">
        <v>125</v>
      </c>
      <c r="G44" s="16" t="s">
        <v>61</v>
      </c>
      <c r="H44" s="16" t="n">
        <v>12.4</v>
      </c>
      <c r="I44" s="19" t="n">
        <f aca="false">IFERROR(IF(D44="Sale",H44*VLOOKUP(G44,Product_Master!$A:$F,6,FALSE()),IF(D44="Purchase",H44*VLOOKUP(G44,Product_Master!$A:$F,5,FALSE()),0)),0)</f>
        <v>2839.6</v>
      </c>
    </row>
    <row r="45" customFormat="false" ht="14.25" hidden="false" customHeight="true" outlineLevel="0" collapsed="false">
      <c r="A45" s="15" t="n">
        <v>44</v>
      </c>
      <c r="B45" s="18" t="n">
        <v>46116</v>
      </c>
      <c r="C45" s="16" t="s">
        <v>101</v>
      </c>
      <c r="D45" s="16" t="s">
        <v>102</v>
      </c>
      <c r="E45" s="16" t="n">
        <v>22</v>
      </c>
      <c r="F45" s="16" t="s">
        <v>126</v>
      </c>
      <c r="G45" s="16" t="s">
        <v>41</v>
      </c>
      <c r="H45" s="16" t="n">
        <v>240</v>
      </c>
      <c r="I45" s="19" t="n">
        <f aca="false">IFERROR(IF(D45="Sale",H45*VLOOKUP(G45,Product_Master!$A:$F,6,FALSE()),IF(D45="Purchase",H45*VLOOKUP(G45,Product_Master!$A:$F,5,FALSE()),0)),0)</f>
        <v>26640</v>
      </c>
    </row>
    <row r="46" customFormat="false" ht="14.25" hidden="false" customHeight="true" outlineLevel="0" collapsed="false">
      <c r="A46" s="15" t="n">
        <v>45</v>
      </c>
      <c r="B46" s="18" t="n">
        <v>46116</v>
      </c>
      <c r="C46" s="16" t="s">
        <v>101</v>
      </c>
      <c r="D46" s="16" t="s">
        <v>102</v>
      </c>
      <c r="E46" s="16" t="n">
        <v>22</v>
      </c>
      <c r="F46" s="16" t="s">
        <v>126</v>
      </c>
      <c r="G46" s="16" t="s">
        <v>42</v>
      </c>
      <c r="H46" s="16" t="n">
        <v>240</v>
      </c>
      <c r="I46" s="19" t="n">
        <f aca="false">IFERROR(IF(D46="Sale",H46*VLOOKUP(G46,Product_Master!$A:$F,6,FALSE()),IF(D46="Purchase",H46*VLOOKUP(G46,Product_Master!$A:$F,5,FALSE()),0)),0)</f>
        <v>26880</v>
      </c>
    </row>
    <row r="47" customFormat="false" ht="14.25" hidden="false" customHeight="true" outlineLevel="0" collapsed="false">
      <c r="A47" s="15" t="n">
        <v>46</v>
      </c>
      <c r="B47" s="18" t="n">
        <v>46116</v>
      </c>
      <c r="C47" s="16" t="s">
        <v>101</v>
      </c>
      <c r="D47" s="16" t="s">
        <v>102</v>
      </c>
      <c r="E47" s="16" t="n">
        <v>22</v>
      </c>
      <c r="F47" s="16" t="s">
        <v>126</v>
      </c>
      <c r="G47" s="16" t="s">
        <v>50</v>
      </c>
      <c r="H47" s="16" t="n">
        <v>150</v>
      </c>
      <c r="I47" s="19" t="n">
        <f aca="false">IFERROR(IF(D47="Sale",H47*VLOOKUP(G47,Product_Master!$A:$F,6,FALSE()),IF(D47="Purchase",H47*VLOOKUP(G47,Product_Master!$A:$F,5,FALSE()),0)),0)</f>
        <v>33750</v>
      </c>
    </row>
    <row r="48" customFormat="false" ht="14.25" hidden="false" customHeight="true" outlineLevel="0" collapsed="false">
      <c r="A48" s="15" t="n">
        <v>47</v>
      </c>
      <c r="B48" s="18" t="n">
        <v>46116</v>
      </c>
      <c r="C48" s="16" t="s">
        <v>101</v>
      </c>
      <c r="D48" s="16" t="s">
        <v>102</v>
      </c>
      <c r="E48" s="16" t="n">
        <v>22</v>
      </c>
      <c r="F48" s="16" t="s">
        <v>126</v>
      </c>
      <c r="G48" s="16" t="s">
        <v>55</v>
      </c>
      <c r="H48" s="16" t="n">
        <v>250</v>
      </c>
      <c r="I48" s="19" t="n">
        <f aca="false">IFERROR(IF(D48="Sale",H48*VLOOKUP(G48,Product_Master!$A:$F,6,FALSE()),IF(D48="Purchase",H48*VLOOKUP(G48,Product_Master!$A:$F,5,FALSE()),0)),0)</f>
        <v>45000</v>
      </c>
    </row>
    <row r="49" customFormat="false" ht="14.25" hidden="false" customHeight="true" outlineLevel="0" collapsed="false">
      <c r="A49" s="15" t="n">
        <v>48</v>
      </c>
      <c r="B49" s="18" t="n">
        <v>46116</v>
      </c>
      <c r="C49" s="16" t="s">
        <v>101</v>
      </c>
      <c r="D49" s="16" t="s">
        <v>102</v>
      </c>
      <c r="E49" s="16" t="n">
        <v>23</v>
      </c>
      <c r="F49" s="16" t="s">
        <v>106</v>
      </c>
      <c r="G49" s="16" t="s">
        <v>40</v>
      </c>
      <c r="H49" s="16" t="n">
        <v>480</v>
      </c>
      <c r="I49" s="19" t="n">
        <f aca="false">IFERROR(IF(D49="Sale",H49*VLOOKUP(G49,Product_Master!$A:$F,6,FALSE()),IF(D49="Purchase",H49*VLOOKUP(G49,Product_Master!$A:$F,5,FALSE()),0)),0)</f>
        <v>48960</v>
      </c>
    </row>
    <row r="50" customFormat="false" ht="14.25" hidden="false" customHeight="true" outlineLevel="0" collapsed="false">
      <c r="A50" s="15" t="n">
        <v>49</v>
      </c>
      <c r="B50" s="18" t="n">
        <v>46116</v>
      </c>
      <c r="C50" s="16" t="s">
        <v>101</v>
      </c>
      <c r="D50" s="16" t="s">
        <v>102</v>
      </c>
      <c r="E50" s="16" t="n">
        <v>23</v>
      </c>
      <c r="F50" s="16" t="s">
        <v>106</v>
      </c>
      <c r="G50" s="16" t="s">
        <v>41</v>
      </c>
      <c r="H50" s="16" t="n">
        <v>480</v>
      </c>
      <c r="I50" s="19" t="n">
        <f aca="false">IFERROR(IF(D50="Sale",H50*VLOOKUP(G50,Product_Master!$A:$F,6,FALSE()),IF(D50="Purchase",H50*VLOOKUP(G50,Product_Master!$A:$F,5,FALSE()),0)),0)</f>
        <v>53280</v>
      </c>
    </row>
    <row r="51" customFormat="false" ht="14.25" hidden="false" customHeight="true" outlineLevel="0" collapsed="false">
      <c r="A51" s="15" t="n">
        <v>50</v>
      </c>
      <c r="B51" s="18" t="n">
        <v>46116</v>
      </c>
      <c r="C51" s="16" t="s">
        <v>101</v>
      </c>
      <c r="D51" s="16" t="s">
        <v>102</v>
      </c>
      <c r="E51" s="16" t="n">
        <v>23</v>
      </c>
      <c r="F51" s="16" t="s">
        <v>106</v>
      </c>
      <c r="G51" s="16" t="s">
        <v>59</v>
      </c>
      <c r="H51" s="16" t="n">
        <v>50</v>
      </c>
      <c r="I51" s="19" t="n">
        <f aca="false">IFERROR(IF(D51="Sale",H51*VLOOKUP(G51,Product_Master!$A:$F,6,FALSE()),IF(D51="Purchase",H51*VLOOKUP(G51,Product_Master!$A:$F,5,FALSE()),0)),0)</f>
        <v>7400</v>
      </c>
    </row>
    <row r="52" customFormat="false" ht="14.25" hidden="false" customHeight="true" outlineLevel="0" collapsed="false">
      <c r="A52" s="15" t="n">
        <v>51</v>
      </c>
      <c r="B52" s="18" t="n">
        <v>46116</v>
      </c>
      <c r="C52" s="16" t="s">
        <v>101</v>
      </c>
      <c r="D52" s="16" t="s">
        <v>102</v>
      </c>
      <c r="E52" s="16" t="n">
        <v>23</v>
      </c>
      <c r="F52" s="16" t="s">
        <v>106</v>
      </c>
      <c r="G52" s="16" t="s">
        <v>73</v>
      </c>
      <c r="H52" s="16" t="n">
        <v>125</v>
      </c>
      <c r="I52" s="19" t="n">
        <f aca="false">IFERROR(IF(D52="Sale",H52*VLOOKUP(G52,Product_Master!$A:$F,6,FALSE()),IF(D52="Purchase",H52*VLOOKUP(G52,Product_Master!$A:$F,5,FALSE()),0)),0)</f>
        <v>17500</v>
      </c>
    </row>
    <row r="53" customFormat="false" ht="14.25" hidden="false" customHeight="true" outlineLevel="0" collapsed="false">
      <c r="A53" s="15" t="n">
        <v>52</v>
      </c>
      <c r="B53" s="18" t="n">
        <v>46118</v>
      </c>
      <c r="C53" s="16" t="s">
        <v>101</v>
      </c>
      <c r="D53" s="16" t="s">
        <v>102</v>
      </c>
      <c r="E53" s="16" t="n">
        <v>24</v>
      </c>
      <c r="F53" s="16" t="s">
        <v>127</v>
      </c>
      <c r="G53" s="16" t="s">
        <v>49</v>
      </c>
      <c r="H53" s="16" t="n">
        <v>60</v>
      </c>
      <c r="I53" s="19" t="n">
        <f aca="false">IFERROR(IF(D53="Sale",H53*VLOOKUP(G53,Product_Master!$A:$F,6,FALSE()),IF(D53="Purchase",H53*VLOOKUP(G53,Product_Master!$A:$F,5,FALSE()),0)),0)</f>
        <v>7320</v>
      </c>
    </row>
    <row r="54" customFormat="false" ht="14.25" hidden="false" customHeight="true" outlineLevel="0" collapsed="false">
      <c r="A54" s="15" t="n">
        <v>53</v>
      </c>
      <c r="B54" s="18" t="n">
        <v>46118</v>
      </c>
      <c r="C54" s="16" t="s">
        <v>101</v>
      </c>
      <c r="D54" s="16" t="s">
        <v>102</v>
      </c>
      <c r="E54" s="16" t="n">
        <v>24</v>
      </c>
      <c r="F54" s="16" t="s">
        <v>127</v>
      </c>
      <c r="G54" s="16" t="s">
        <v>50</v>
      </c>
      <c r="H54" s="16" t="n">
        <v>50</v>
      </c>
      <c r="I54" s="19" t="n">
        <f aca="false">IFERROR(IF(D54="Sale",H54*VLOOKUP(G54,Product_Master!$A:$F,6,FALSE()),IF(D54="Purchase",H54*VLOOKUP(G54,Product_Master!$A:$F,5,FALSE()),0)),0)</f>
        <v>11250</v>
      </c>
    </row>
    <row r="55" customFormat="false" ht="14.25" hidden="false" customHeight="true" outlineLevel="0" collapsed="false">
      <c r="A55" s="15" t="n">
        <v>54</v>
      </c>
      <c r="B55" s="18" t="n">
        <v>46118</v>
      </c>
      <c r="C55" s="16" t="s">
        <v>101</v>
      </c>
      <c r="D55" s="16" t="s">
        <v>102</v>
      </c>
      <c r="E55" s="16" t="n">
        <v>25</v>
      </c>
      <c r="F55" s="16" t="s">
        <v>113</v>
      </c>
      <c r="G55" s="16" t="s">
        <v>41</v>
      </c>
      <c r="H55" s="16" t="n">
        <v>240</v>
      </c>
      <c r="I55" s="19" t="n">
        <f aca="false">IFERROR(IF(D55="Sale",H55*VLOOKUP(G55,Product_Master!$A:$F,6,FALSE()),IF(D55="Purchase",H55*VLOOKUP(G55,Product_Master!$A:$F,5,FALSE()),0)),0)</f>
        <v>26640</v>
      </c>
    </row>
    <row r="56" customFormat="false" ht="14.25" hidden="false" customHeight="true" outlineLevel="0" collapsed="false">
      <c r="A56" s="15" t="n">
        <v>55</v>
      </c>
      <c r="B56" s="18" t="n">
        <v>46118</v>
      </c>
      <c r="C56" s="16" t="s">
        <v>101</v>
      </c>
      <c r="D56" s="16" t="s">
        <v>102</v>
      </c>
      <c r="E56" s="16" t="n">
        <v>25</v>
      </c>
      <c r="F56" s="16" t="s">
        <v>113</v>
      </c>
      <c r="G56" s="16" t="s">
        <v>42</v>
      </c>
      <c r="H56" s="16" t="n">
        <v>240</v>
      </c>
      <c r="I56" s="19" t="n">
        <f aca="false">IFERROR(IF(D56="Sale",H56*VLOOKUP(G56,Product_Master!$A:$F,6,FALSE()),IF(D56="Purchase",H56*VLOOKUP(G56,Product_Master!$A:$F,5,FALSE()),0)),0)</f>
        <v>26880</v>
      </c>
    </row>
    <row r="57" customFormat="false" ht="14.25" hidden="false" customHeight="true" outlineLevel="0" collapsed="false">
      <c r="A57" s="15" t="n">
        <v>56</v>
      </c>
      <c r="B57" s="18" t="n">
        <v>46118</v>
      </c>
      <c r="C57" s="16" t="s">
        <v>101</v>
      </c>
      <c r="D57" s="16" t="s">
        <v>102</v>
      </c>
      <c r="E57" s="16" t="n">
        <v>26</v>
      </c>
      <c r="F57" s="16" t="s">
        <v>126</v>
      </c>
      <c r="G57" s="16" t="s">
        <v>41</v>
      </c>
      <c r="H57" s="16" t="n">
        <v>240</v>
      </c>
      <c r="I57" s="19" t="n">
        <f aca="false">IFERROR(IF(D57="Sale",H57*VLOOKUP(G57,Product_Master!$A:$F,6,FALSE()),IF(D57="Purchase",H57*VLOOKUP(G57,Product_Master!$A:$F,5,FALSE()),0)),0)</f>
        <v>26640</v>
      </c>
    </row>
    <row r="58" customFormat="false" ht="14.25" hidden="false" customHeight="true" outlineLevel="0" collapsed="false">
      <c r="A58" s="15" t="n">
        <v>57</v>
      </c>
      <c r="B58" s="18" t="n">
        <v>46118</v>
      </c>
      <c r="C58" s="16" t="s">
        <v>101</v>
      </c>
      <c r="D58" s="16" t="s">
        <v>102</v>
      </c>
      <c r="E58" s="16" t="n">
        <v>26</v>
      </c>
      <c r="F58" s="16" t="s">
        <v>126</v>
      </c>
      <c r="G58" s="16" t="s">
        <v>42</v>
      </c>
      <c r="H58" s="16" t="n">
        <v>240</v>
      </c>
      <c r="I58" s="19" t="n">
        <f aca="false">IFERROR(IF(D58="Sale",H58*VLOOKUP(G58,Product_Master!$A:$F,6,FALSE()),IF(D58="Purchase",H58*VLOOKUP(G58,Product_Master!$A:$F,5,FALSE()),0)),0)</f>
        <v>26880</v>
      </c>
    </row>
    <row r="59" customFormat="false" ht="14.25" hidden="false" customHeight="true" outlineLevel="0" collapsed="false">
      <c r="A59" s="15" t="n">
        <v>58</v>
      </c>
      <c r="B59" s="18" t="n">
        <v>46118</v>
      </c>
      <c r="C59" s="16" t="s">
        <v>101</v>
      </c>
      <c r="D59" s="16" t="s">
        <v>102</v>
      </c>
      <c r="E59" s="16" t="n">
        <v>27</v>
      </c>
      <c r="F59" s="16" t="s">
        <v>113</v>
      </c>
      <c r="G59" s="16" t="s">
        <v>41</v>
      </c>
      <c r="H59" s="16" t="n">
        <v>240</v>
      </c>
      <c r="I59" s="19" t="n">
        <f aca="false">IFERROR(IF(D59="Sale",H59*VLOOKUP(G59,Product_Master!$A:$F,6,FALSE()),IF(D59="Purchase",H59*VLOOKUP(G59,Product_Master!$A:$F,5,FALSE()),0)),0)</f>
        <v>26640</v>
      </c>
    </row>
    <row r="60" customFormat="false" ht="14.25" hidden="false" customHeight="true" outlineLevel="0" collapsed="false">
      <c r="A60" s="15" t="n">
        <v>59</v>
      </c>
      <c r="B60" s="18" t="n">
        <v>46118</v>
      </c>
      <c r="C60" s="16" t="s">
        <v>101</v>
      </c>
      <c r="D60" s="16" t="s">
        <v>102</v>
      </c>
      <c r="E60" s="16" t="n">
        <v>27</v>
      </c>
      <c r="F60" s="16" t="s">
        <v>113</v>
      </c>
      <c r="G60" s="16" t="s">
        <v>42</v>
      </c>
      <c r="H60" s="16" t="n">
        <v>240</v>
      </c>
      <c r="I60" s="19" t="n">
        <f aca="false">IFERROR(IF(D60="Sale",H60*VLOOKUP(G60,Product_Master!$A:$F,6,FALSE()),IF(D60="Purchase",H60*VLOOKUP(G60,Product_Master!$A:$F,5,FALSE()),0)),0)</f>
        <v>26880</v>
      </c>
    </row>
    <row r="61" customFormat="false" ht="14.25" hidden="false" customHeight="true" outlineLevel="0" collapsed="false">
      <c r="A61" s="15" t="n">
        <v>60</v>
      </c>
      <c r="B61" s="18" t="n">
        <v>46118</v>
      </c>
      <c r="C61" s="16" t="s">
        <v>101</v>
      </c>
      <c r="D61" s="16" t="s">
        <v>102</v>
      </c>
      <c r="E61" s="16" t="n">
        <v>28</v>
      </c>
      <c r="F61" s="16" t="s">
        <v>128</v>
      </c>
      <c r="G61" s="16" t="s">
        <v>68</v>
      </c>
      <c r="H61" s="16" t="n">
        <v>200</v>
      </c>
      <c r="I61" s="19" t="n">
        <f aca="false">IFERROR(IF(D61="Sale",H61*VLOOKUP(G61,Product_Master!$A:$F,6,FALSE()),IF(D61="Purchase",H61*VLOOKUP(G61,Product_Master!$A:$F,5,FALSE()),0)),0)</f>
        <v>25000</v>
      </c>
    </row>
    <row r="62" customFormat="false" ht="14.25" hidden="false" customHeight="true" outlineLevel="0" collapsed="false">
      <c r="A62" s="15" t="n">
        <v>61</v>
      </c>
      <c r="B62" s="18" t="n">
        <v>46118</v>
      </c>
      <c r="C62" s="16" t="s">
        <v>101</v>
      </c>
      <c r="D62" s="16" t="s">
        <v>102</v>
      </c>
      <c r="E62" s="16" t="n">
        <v>29</v>
      </c>
      <c r="F62" s="16" t="s">
        <v>129</v>
      </c>
      <c r="G62" s="16" t="s">
        <v>39</v>
      </c>
      <c r="H62" s="16" t="n">
        <v>360</v>
      </c>
      <c r="I62" s="19" t="n">
        <f aca="false">IFERROR(IF(D62="Sale",H62*VLOOKUP(G62,Product_Master!$A:$F,6,FALSE()),IF(D62="Purchase",H62*VLOOKUP(G62,Product_Master!$A:$F,5,FALSE()),0)),0)</f>
        <v>38160</v>
      </c>
    </row>
    <row r="63" customFormat="false" ht="14.25" hidden="false" customHeight="true" outlineLevel="0" collapsed="false">
      <c r="A63" s="15" t="n">
        <v>62</v>
      </c>
      <c r="B63" s="18" t="n">
        <v>46118</v>
      </c>
      <c r="C63" s="16" t="s">
        <v>101</v>
      </c>
      <c r="D63" s="16" t="s">
        <v>102</v>
      </c>
      <c r="E63" s="16" t="n">
        <v>29</v>
      </c>
      <c r="F63" s="16" t="s">
        <v>129</v>
      </c>
      <c r="G63" s="16" t="s">
        <v>40</v>
      </c>
      <c r="H63" s="16" t="n">
        <v>600</v>
      </c>
      <c r="I63" s="19" t="n">
        <f aca="false">IFERROR(IF(D63="Sale",H63*VLOOKUP(G63,Product_Master!$A:$F,6,FALSE()),IF(D63="Purchase",H63*VLOOKUP(G63,Product_Master!$A:$F,5,FALSE()),0)),0)</f>
        <v>61200</v>
      </c>
    </row>
    <row r="64" customFormat="false" ht="14.25" hidden="false" customHeight="true" outlineLevel="0" collapsed="false">
      <c r="A64" s="15" t="n">
        <v>63</v>
      </c>
      <c r="B64" s="18" t="n">
        <v>46118</v>
      </c>
      <c r="C64" s="16" t="s">
        <v>101</v>
      </c>
      <c r="D64" s="16" t="s">
        <v>102</v>
      </c>
      <c r="E64" s="16" t="n">
        <v>30</v>
      </c>
      <c r="F64" s="16" t="s">
        <v>130</v>
      </c>
      <c r="G64" s="16" t="s">
        <v>56</v>
      </c>
      <c r="H64" s="16" t="n">
        <v>120</v>
      </c>
      <c r="I64" s="19" t="n">
        <f aca="false">IFERROR(IF(D64="Sale",H64*VLOOKUP(G64,Product_Master!$A:$F,6,FALSE()),IF(D64="Purchase",H64*VLOOKUP(G64,Product_Master!$A:$F,5,FALSE()),0)),0)</f>
        <v>12360</v>
      </c>
    </row>
    <row r="65" customFormat="false" ht="14.25" hidden="false" customHeight="true" outlineLevel="0" collapsed="false">
      <c r="A65" s="15" t="n">
        <v>64</v>
      </c>
      <c r="B65" s="18" t="n">
        <v>46118</v>
      </c>
      <c r="C65" s="16" t="s">
        <v>101</v>
      </c>
      <c r="D65" s="16" t="s">
        <v>102</v>
      </c>
      <c r="E65" s="16" t="n">
        <v>30</v>
      </c>
      <c r="F65" s="16" t="s">
        <v>130</v>
      </c>
      <c r="G65" s="16" t="s">
        <v>67</v>
      </c>
      <c r="H65" s="16" t="n">
        <v>25</v>
      </c>
      <c r="I65" s="19" t="n">
        <f aca="false">IFERROR(IF(D65="Sale",H65*VLOOKUP(G65,Product_Master!$A:$F,6,FALSE()),IF(D65="Purchase",H65*VLOOKUP(G65,Product_Master!$A:$F,5,FALSE()),0)),0)</f>
        <v>8250</v>
      </c>
    </row>
    <row r="66" customFormat="false" ht="14.25" hidden="false" customHeight="true" outlineLevel="0" collapsed="false">
      <c r="A66" s="15" t="n">
        <v>65</v>
      </c>
      <c r="B66" s="18" t="n">
        <v>46118</v>
      </c>
      <c r="C66" s="16" t="s">
        <v>101</v>
      </c>
      <c r="D66" s="16" t="s">
        <v>102</v>
      </c>
      <c r="E66" s="16" t="n">
        <v>31</v>
      </c>
      <c r="F66" s="16" t="s">
        <v>131</v>
      </c>
      <c r="G66" s="16" t="s">
        <v>42</v>
      </c>
      <c r="H66" s="16" t="n">
        <v>120</v>
      </c>
      <c r="I66" s="19" t="n">
        <f aca="false">IFERROR(IF(D66="Sale",H66*VLOOKUP(G66,Product_Master!$A:$F,6,FALSE()),IF(D66="Purchase",H66*VLOOKUP(G66,Product_Master!$A:$F,5,FALSE()),0)),0)</f>
        <v>13440</v>
      </c>
    </row>
    <row r="67" customFormat="false" ht="14.25" hidden="false" customHeight="true" outlineLevel="0" collapsed="false">
      <c r="A67" s="15" t="n">
        <v>66</v>
      </c>
      <c r="B67" s="18" t="n">
        <v>46118</v>
      </c>
      <c r="C67" s="16" t="s">
        <v>101</v>
      </c>
      <c r="D67" s="16" t="s">
        <v>102</v>
      </c>
      <c r="E67" s="16" t="n">
        <v>31</v>
      </c>
      <c r="F67" s="16" t="s">
        <v>131</v>
      </c>
      <c r="G67" s="16" t="s">
        <v>55</v>
      </c>
      <c r="H67" s="16" t="n">
        <v>25</v>
      </c>
      <c r="I67" s="19" t="n">
        <f aca="false">IFERROR(IF(D67="Sale",H67*VLOOKUP(G67,Product_Master!$A:$F,6,FALSE()),IF(D67="Purchase",H67*VLOOKUP(G67,Product_Master!$A:$F,5,FALSE()),0)),0)</f>
        <v>4500</v>
      </c>
    </row>
    <row r="68" customFormat="false" ht="14.25" hidden="false" customHeight="true" outlineLevel="0" collapsed="false">
      <c r="A68" s="15" t="n">
        <v>67</v>
      </c>
      <c r="B68" s="18" t="n">
        <v>46118</v>
      </c>
      <c r="C68" s="16" t="s">
        <v>101</v>
      </c>
      <c r="D68" s="16" t="s">
        <v>102</v>
      </c>
      <c r="E68" s="16" t="n">
        <v>32</v>
      </c>
      <c r="F68" s="16" t="s">
        <v>115</v>
      </c>
      <c r="G68" s="16" t="s">
        <v>41</v>
      </c>
      <c r="H68" s="16" t="n">
        <v>480</v>
      </c>
      <c r="I68" s="19" t="n">
        <f aca="false">IFERROR(IF(D68="Sale",H68*VLOOKUP(G68,Product_Master!$A:$F,6,FALSE()),IF(D68="Purchase",H68*VLOOKUP(G68,Product_Master!$A:$F,5,FALSE()),0)),0)</f>
        <v>53280</v>
      </c>
    </row>
    <row r="69" customFormat="false" ht="14.25" hidden="true" customHeight="true" outlineLevel="0" collapsed="false">
      <c r="A69" s="15" t="n">
        <v>68</v>
      </c>
      <c r="B69" s="18" t="n">
        <v>46119</v>
      </c>
      <c r="C69" s="16" t="s">
        <v>101</v>
      </c>
      <c r="D69" s="16" t="s">
        <v>111</v>
      </c>
      <c r="E69" s="16"/>
      <c r="F69" s="16" t="s">
        <v>132</v>
      </c>
      <c r="G69" s="16" t="s">
        <v>38</v>
      </c>
      <c r="H69" s="16" t="n">
        <v>2200</v>
      </c>
      <c r="I69" s="19" t="n">
        <f aca="false">IFERROR(IF(D69="Sale",H69*VLOOKUP(G69,Product_Master!$A:$F,6,FALSE()),IF(D69="Purchase",H69*VLOOKUP(G69,Product_Master!$A:$F,5,FALSE()),0)),0)</f>
        <v>204600</v>
      </c>
    </row>
    <row r="70" customFormat="false" ht="14.25" hidden="true" customHeight="true" outlineLevel="0" collapsed="false">
      <c r="A70" s="15" t="n">
        <v>69</v>
      </c>
      <c r="B70" s="18" t="n">
        <v>46119</v>
      </c>
      <c r="C70" s="16" t="s">
        <v>101</v>
      </c>
      <c r="D70" s="16" t="s">
        <v>111</v>
      </c>
      <c r="E70" s="16"/>
      <c r="F70" s="16" t="s">
        <v>132</v>
      </c>
      <c r="G70" s="16" t="s">
        <v>39</v>
      </c>
      <c r="H70" s="16" t="n">
        <v>2400</v>
      </c>
      <c r="I70" s="19" t="n">
        <f aca="false">IFERROR(IF(D70="Sale",H70*VLOOKUP(G70,Product_Master!$A:$F,6,FALSE()),IF(D70="Purchase",H70*VLOOKUP(G70,Product_Master!$A:$F,5,FALSE()),0)),0)</f>
        <v>230400</v>
      </c>
    </row>
    <row r="71" customFormat="false" ht="14.25" hidden="true" customHeight="true" outlineLevel="0" collapsed="false">
      <c r="A71" s="15" t="n">
        <v>70</v>
      </c>
      <c r="B71" s="18" t="n">
        <v>46119</v>
      </c>
      <c r="C71" s="16" t="s">
        <v>101</v>
      </c>
      <c r="D71" s="16" t="s">
        <v>111</v>
      </c>
      <c r="E71" s="16"/>
      <c r="F71" s="16" t="s">
        <v>132</v>
      </c>
      <c r="G71" s="16" t="s">
        <v>40</v>
      </c>
      <c r="H71" s="16" t="n">
        <v>3600</v>
      </c>
      <c r="I71" s="19" t="n">
        <f aca="false">IFERROR(IF(D71="Sale",H71*VLOOKUP(G71,Product_Master!$A:$F,6,FALSE()),IF(D71="Purchase",H71*VLOOKUP(G71,Product_Master!$A:$F,5,FALSE()),0)),0)</f>
        <v>338400</v>
      </c>
    </row>
    <row r="72" customFormat="false" ht="14.25" hidden="true" customHeight="true" outlineLevel="0" collapsed="false">
      <c r="A72" s="15" t="n">
        <v>71</v>
      </c>
      <c r="B72" s="18" t="n">
        <v>46119</v>
      </c>
      <c r="C72" s="16" t="s">
        <v>101</v>
      </c>
      <c r="D72" s="16" t="s">
        <v>111</v>
      </c>
      <c r="E72" s="16"/>
      <c r="F72" s="16" t="s">
        <v>132</v>
      </c>
      <c r="G72" s="16" t="s">
        <v>41</v>
      </c>
      <c r="H72" s="16" t="n">
        <v>6000</v>
      </c>
      <c r="I72" s="19" t="n">
        <f aca="false">IFERROR(IF(D72="Sale",H72*VLOOKUP(G72,Product_Master!$A:$F,6,FALSE()),IF(D72="Purchase",H72*VLOOKUP(G72,Product_Master!$A:$F,5,FALSE()),0)),0)</f>
        <v>582000</v>
      </c>
    </row>
    <row r="73" customFormat="false" ht="14.25" hidden="true" customHeight="true" outlineLevel="0" collapsed="false">
      <c r="A73" s="15" t="n">
        <v>72</v>
      </c>
      <c r="B73" s="18" t="n">
        <v>46119</v>
      </c>
      <c r="C73" s="16" t="s">
        <v>101</v>
      </c>
      <c r="D73" s="16" t="s">
        <v>111</v>
      </c>
      <c r="E73" s="16"/>
      <c r="F73" s="16" t="s">
        <v>132</v>
      </c>
      <c r="G73" s="16" t="s">
        <v>42</v>
      </c>
      <c r="H73" s="16" t="n">
        <v>2400</v>
      </c>
      <c r="I73" s="19" t="n">
        <f aca="false">IFERROR(IF(D73="Sale",H73*VLOOKUP(G73,Product_Master!$A:$F,6,FALSE()),IF(D73="Purchase",H73*VLOOKUP(G73,Product_Master!$A:$F,5,FALSE()),0)),0)</f>
        <v>237600</v>
      </c>
    </row>
    <row r="74" customFormat="false" ht="14.25" hidden="true" customHeight="true" outlineLevel="0" collapsed="false">
      <c r="A74" s="15" t="n">
        <v>73</v>
      </c>
      <c r="B74" s="18" t="n">
        <v>46119</v>
      </c>
      <c r="C74" s="16" t="s">
        <v>101</v>
      </c>
      <c r="D74" s="16" t="s">
        <v>111</v>
      </c>
      <c r="E74" s="16"/>
      <c r="F74" s="16" t="s">
        <v>132</v>
      </c>
      <c r="G74" s="16" t="s">
        <v>43</v>
      </c>
      <c r="H74" s="16" t="n">
        <v>1200</v>
      </c>
      <c r="I74" s="19" t="n">
        <f aca="false">IFERROR(IF(D74="Sale",H74*VLOOKUP(G74,Product_Master!$A:$F,6,FALSE()),IF(D74="Purchase",H74*VLOOKUP(G74,Product_Master!$A:$F,5,FALSE()),0)),0)</f>
        <v>162000</v>
      </c>
    </row>
    <row r="75" customFormat="false" ht="14.25" hidden="true" customHeight="true" outlineLevel="0" collapsed="false">
      <c r="A75" s="15" t="n">
        <v>74</v>
      </c>
      <c r="B75" s="18" t="n">
        <v>46119</v>
      </c>
      <c r="C75" s="16" t="s">
        <v>101</v>
      </c>
      <c r="D75" s="16" t="s">
        <v>111</v>
      </c>
      <c r="E75" s="16"/>
      <c r="F75" s="16" t="s">
        <v>132</v>
      </c>
      <c r="G75" s="16" t="s">
        <v>73</v>
      </c>
      <c r="H75" s="16" t="n">
        <v>2500</v>
      </c>
      <c r="I75" s="19" t="n">
        <f aca="false">IFERROR(IF(D75="Sale",H75*VLOOKUP(G75,Product_Master!$A:$F,6,FALSE()),IF(D75="Purchase",H75*VLOOKUP(G75,Product_Master!$A:$F,5,FALSE()),0)),0)</f>
        <v>287500</v>
      </c>
    </row>
    <row r="76" customFormat="false" ht="14.25" hidden="true" customHeight="true" outlineLevel="0" collapsed="false">
      <c r="A76" s="15" t="n">
        <v>75</v>
      </c>
      <c r="B76" s="18" t="n">
        <v>46119</v>
      </c>
      <c r="C76" s="16" t="s">
        <v>101</v>
      </c>
      <c r="D76" s="16" t="s">
        <v>111</v>
      </c>
      <c r="E76" s="16"/>
      <c r="F76" s="16" t="s">
        <v>132</v>
      </c>
      <c r="G76" s="16" t="s">
        <v>90</v>
      </c>
      <c r="H76" s="16" t="n">
        <v>240</v>
      </c>
      <c r="I76" s="19" t="n">
        <f aca="false">IFERROR(IF(D76="Sale",H76*VLOOKUP(G76,Product_Master!$A:$F,6,FALSE()),IF(D76="Purchase",H76*VLOOKUP(G76,Product_Master!$A:$F,5,FALSE()),0)),0)</f>
        <v>20400</v>
      </c>
    </row>
    <row r="77" customFormat="false" ht="14.25" hidden="false" customHeight="true" outlineLevel="0" collapsed="false">
      <c r="A77" s="15" t="n">
        <v>76</v>
      </c>
      <c r="B77" s="18" t="n">
        <v>46119</v>
      </c>
      <c r="C77" s="16" t="s">
        <v>101</v>
      </c>
      <c r="D77" s="16" t="s">
        <v>102</v>
      </c>
      <c r="E77" s="16" t="n">
        <v>33</v>
      </c>
      <c r="F77" s="16" t="s">
        <v>126</v>
      </c>
      <c r="G77" s="16" t="s">
        <v>53</v>
      </c>
      <c r="H77" s="16" t="n">
        <v>150</v>
      </c>
      <c r="I77" s="19" t="n">
        <f aca="false">IFERROR(IF(D77="Sale",H77*VLOOKUP(G77,Product_Master!$A:$F,6,FALSE()),IF(D77="Purchase",H77*VLOOKUP(G77,Product_Master!$A:$F,5,FALSE()),0)),0)</f>
        <v>12750</v>
      </c>
    </row>
    <row r="78" customFormat="false" ht="14.25" hidden="false" customHeight="true" outlineLevel="0" collapsed="false">
      <c r="A78" s="15" t="n">
        <v>77</v>
      </c>
      <c r="B78" s="18" t="n">
        <v>46119</v>
      </c>
      <c r="C78" s="16" t="s">
        <v>101</v>
      </c>
      <c r="D78" s="16" t="s">
        <v>102</v>
      </c>
      <c r="E78" s="16" t="n">
        <v>34</v>
      </c>
      <c r="F78" s="16" t="s">
        <v>133</v>
      </c>
      <c r="G78" s="16" t="s">
        <v>53</v>
      </c>
      <c r="H78" s="16" t="n">
        <v>250</v>
      </c>
      <c r="I78" s="19" t="n">
        <f aca="false">IFERROR(IF(D78="Sale",H78*VLOOKUP(G78,Product_Master!$A:$F,6,FALSE()),IF(D78="Purchase",H78*VLOOKUP(G78,Product_Master!$A:$F,5,FALSE()),0)),0)</f>
        <v>21250</v>
      </c>
    </row>
    <row r="79" customFormat="false" ht="14.25" hidden="false" customHeight="true" outlineLevel="0" collapsed="false">
      <c r="A79" s="15" t="n">
        <v>78</v>
      </c>
      <c r="B79" s="18" t="n">
        <v>46120</v>
      </c>
      <c r="C79" s="16" t="s">
        <v>101</v>
      </c>
      <c r="D79" s="16" t="s">
        <v>102</v>
      </c>
      <c r="E79" s="16" t="n">
        <v>35</v>
      </c>
      <c r="F79" s="16" t="s">
        <v>134</v>
      </c>
      <c r="G79" s="16" t="s">
        <v>40</v>
      </c>
      <c r="H79" s="16" t="n">
        <v>120</v>
      </c>
      <c r="I79" s="19" t="n">
        <f aca="false">IFERROR(IF(D79="Sale",H79*VLOOKUP(G79,Product_Master!$A:$F,6,FALSE()),IF(D79="Purchase",H79*VLOOKUP(G79,Product_Master!$A:$F,5,FALSE()),0)),0)</f>
        <v>12240</v>
      </c>
    </row>
    <row r="80" customFormat="false" ht="14.25" hidden="false" customHeight="true" outlineLevel="0" collapsed="false">
      <c r="A80" s="15" t="n">
        <v>79</v>
      </c>
      <c r="B80" s="18" t="n">
        <v>46120</v>
      </c>
      <c r="C80" s="16" t="s">
        <v>101</v>
      </c>
      <c r="D80" s="16" t="s">
        <v>102</v>
      </c>
      <c r="E80" s="16" t="n">
        <v>35</v>
      </c>
      <c r="F80" s="16" t="s">
        <v>134</v>
      </c>
      <c r="G80" s="16" t="s">
        <v>41</v>
      </c>
      <c r="H80" s="16" t="n">
        <v>120</v>
      </c>
      <c r="I80" s="19" t="n">
        <f aca="false">IFERROR(IF(D80="Sale",H80*VLOOKUP(G80,Product_Master!$A:$F,6,FALSE()),IF(D80="Purchase",H80*VLOOKUP(G80,Product_Master!$A:$F,5,FALSE()),0)),0)</f>
        <v>13320</v>
      </c>
    </row>
    <row r="81" customFormat="false" ht="14.25" hidden="false" customHeight="true" outlineLevel="0" collapsed="false">
      <c r="A81" s="15" t="n">
        <v>80</v>
      </c>
      <c r="B81" s="18" t="n">
        <v>46121</v>
      </c>
      <c r="C81" s="16" t="s">
        <v>101</v>
      </c>
      <c r="D81" s="16" t="s">
        <v>102</v>
      </c>
      <c r="E81" s="16" t="n">
        <v>36</v>
      </c>
      <c r="F81" s="16" t="s">
        <v>135</v>
      </c>
      <c r="G81" s="16" t="s">
        <v>49</v>
      </c>
      <c r="H81" s="16" t="n">
        <v>5</v>
      </c>
      <c r="I81" s="19" t="n">
        <f aca="false">IFERROR(IF(D81="Sale",H81*VLOOKUP(G81,Product_Master!$A:$F,6,FALSE()),IF(D81="Purchase",H81*VLOOKUP(G81,Product_Master!$A:$F,5,FALSE()),0)),0)</f>
        <v>610</v>
      </c>
    </row>
    <row r="82" customFormat="false" ht="14.25" hidden="false" customHeight="true" outlineLevel="0" collapsed="false">
      <c r="A82" s="15" t="n">
        <v>81</v>
      </c>
      <c r="B82" s="18" t="n">
        <v>46121</v>
      </c>
      <c r="C82" s="16" t="s">
        <v>101</v>
      </c>
      <c r="D82" s="16" t="s">
        <v>102</v>
      </c>
      <c r="E82" s="16" t="n">
        <v>36</v>
      </c>
      <c r="F82" s="16" t="s">
        <v>135</v>
      </c>
      <c r="G82" s="16" t="s">
        <v>75</v>
      </c>
      <c r="H82" s="16" t="n">
        <v>1</v>
      </c>
      <c r="I82" s="19" t="n">
        <f aca="false">IFERROR(IF(D82="Sale",H82*VLOOKUP(G82,Product_Master!$A:$F,6,FALSE()),IF(D82="Purchase",H82*VLOOKUP(G82,Product_Master!$A:$F,5,FALSE()),0)),0)</f>
        <v>900</v>
      </c>
    </row>
    <row r="83" customFormat="false" ht="14.25" hidden="false" customHeight="true" outlineLevel="0" collapsed="false">
      <c r="A83" s="15" t="n">
        <v>82</v>
      </c>
      <c r="B83" s="18" t="n">
        <v>46121</v>
      </c>
      <c r="C83" s="16" t="s">
        <v>101</v>
      </c>
      <c r="D83" s="16" t="s">
        <v>102</v>
      </c>
      <c r="E83" s="16" t="n">
        <v>37</v>
      </c>
      <c r="F83" s="16" t="s">
        <v>117</v>
      </c>
      <c r="G83" s="16" t="s">
        <v>38</v>
      </c>
      <c r="H83" s="16" t="n">
        <v>220</v>
      </c>
      <c r="I83" s="19" t="n">
        <f aca="false">IFERROR(IF(D83="Sale",H83*VLOOKUP(G83,Product_Master!$A:$F,6,FALSE()),IF(D83="Purchase",H83*VLOOKUP(G83,Product_Master!$A:$F,5,FALSE()),0)),0)</f>
        <v>20460</v>
      </c>
    </row>
    <row r="84" customFormat="false" ht="14.25" hidden="false" customHeight="true" outlineLevel="0" collapsed="false">
      <c r="A84" s="15" t="n">
        <v>83</v>
      </c>
      <c r="B84" s="18" t="n">
        <v>46121</v>
      </c>
      <c r="C84" s="16" t="s">
        <v>101</v>
      </c>
      <c r="D84" s="16" t="s">
        <v>102</v>
      </c>
      <c r="E84" s="16" t="n">
        <v>37</v>
      </c>
      <c r="F84" s="16" t="s">
        <v>117</v>
      </c>
      <c r="G84" s="16" t="s">
        <v>53</v>
      </c>
      <c r="H84" s="16" t="n">
        <v>250</v>
      </c>
      <c r="I84" s="19" t="n">
        <f aca="false">IFERROR(IF(D84="Sale",H84*VLOOKUP(G84,Product_Master!$A:$F,6,FALSE()),IF(D84="Purchase",H84*VLOOKUP(G84,Product_Master!$A:$F,5,FALSE()),0)),0)</f>
        <v>21250</v>
      </c>
    </row>
    <row r="85" customFormat="false" ht="14.25" hidden="false" customHeight="true" outlineLevel="0" collapsed="false">
      <c r="A85" s="15" t="n">
        <v>84</v>
      </c>
      <c r="B85" s="18" t="n">
        <v>46121</v>
      </c>
      <c r="C85" s="16" t="s">
        <v>101</v>
      </c>
      <c r="D85" s="16" t="s">
        <v>102</v>
      </c>
      <c r="E85" s="16" t="n">
        <v>38</v>
      </c>
      <c r="F85" s="16" t="s">
        <v>136</v>
      </c>
      <c r="G85" s="16" t="s">
        <v>45</v>
      </c>
      <c r="H85" s="16" t="n">
        <v>150</v>
      </c>
      <c r="I85" s="19" t="n">
        <f aca="false">IFERROR(IF(D85="Sale",H85*VLOOKUP(G85,Product_Master!$A:$F,6,FALSE()),IF(D85="Purchase",H85*VLOOKUP(G85,Product_Master!$A:$F,5,FALSE()),0)),0)</f>
        <v>27750</v>
      </c>
    </row>
    <row r="86" customFormat="false" ht="14.25" hidden="false" customHeight="true" outlineLevel="0" collapsed="false">
      <c r="A86" s="15" t="n">
        <v>85</v>
      </c>
      <c r="B86" s="18" t="n">
        <v>46122</v>
      </c>
      <c r="C86" s="16" t="s">
        <v>101</v>
      </c>
      <c r="D86" s="16" t="s">
        <v>102</v>
      </c>
      <c r="E86" s="16" t="n">
        <v>39</v>
      </c>
      <c r="F86" s="16" t="s">
        <v>137</v>
      </c>
      <c r="G86" s="16" t="s">
        <v>40</v>
      </c>
      <c r="H86" s="16" t="n">
        <v>240</v>
      </c>
      <c r="I86" s="19" t="n">
        <f aca="false">IFERROR(IF(D86="Sale",H86*VLOOKUP(G86,Product_Master!$A:$F,6,FALSE()),IF(D86="Purchase",H86*VLOOKUP(G86,Product_Master!$A:$F,5,FALSE()),0)),0)</f>
        <v>24480</v>
      </c>
    </row>
    <row r="87" customFormat="false" ht="14.25" hidden="false" customHeight="true" outlineLevel="0" collapsed="false">
      <c r="A87" s="15" t="n">
        <v>86</v>
      </c>
      <c r="B87" s="18" t="n">
        <v>46122</v>
      </c>
      <c r="C87" s="16" t="s">
        <v>101</v>
      </c>
      <c r="D87" s="16" t="s">
        <v>102</v>
      </c>
      <c r="E87" s="16" t="n">
        <v>40</v>
      </c>
      <c r="F87" s="16" t="s">
        <v>115</v>
      </c>
      <c r="G87" s="16" t="s">
        <v>53</v>
      </c>
      <c r="H87" s="16" t="n">
        <v>150</v>
      </c>
      <c r="I87" s="19" t="n">
        <f aca="false">IFERROR(IF(D87="Sale",H87*VLOOKUP(G87,Product_Master!$A:$F,6,FALSE()),IF(D87="Purchase",H87*VLOOKUP(G87,Product_Master!$A:$F,5,FALSE()),0)),0)</f>
        <v>12750</v>
      </c>
    </row>
    <row r="88" customFormat="false" ht="14.25" hidden="false" customHeight="true" outlineLevel="0" collapsed="false">
      <c r="A88" s="15" t="n">
        <v>87</v>
      </c>
      <c r="B88" s="18" t="n">
        <v>46122</v>
      </c>
      <c r="C88" s="16" t="s">
        <v>101</v>
      </c>
      <c r="D88" s="16" t="s">
        <v>102</v>
      </c>
      <c r="E88" s="16" t="n">
        <v>41</v>
      </c>
      <c r="F88" s="16" t="s">
        <v>138</v>
      </c>
      <c r="G88" s="16" t="s">
        <v>40</v>
      </c>
      <c r="H88" s="16" t="n">
        <v>120</v>
      </c>
      <c r="I88" s="19" t="n">
        <f aca="false">IFERROR(IF(D88="Sale",H88*VLOOKUP(G88,Product_Master!$A:$F,6,FALSE()),IF(D88="Purchase",H88*VLOOKUP(G88,Product_Master!$A:$F,5,FALSE()),0)),0)</f>
        <v>12240</v>
      </c>
    </row>
    <row r="89" customFormat="false" ht="14.25" hidden="false" customHeight="true" outlineLevel="0" collapsed="false">
      <c r="A89" s="15" t="n">
        <v>88</v>
      </c>
      <c r="B89" s="18" t="n">
        <v>46122</v>
      </c>
      <c r="C89" s="16" t="s">
        <v>101</v>
      </c>
      <c r="D89" s="16" t="s">
        <v>102</v>
      </c>
      <c r="E89" s="16" t="n">
        <v>42</v>
      </c>
      <c r="F89" s="16" t="s">
        <v>139</v>
      </c>
      <c r="G89" s="16" t="s">
        <v>85</v>
      </c>
      <c r="H89" s="16" t="n">
        <v>25</v>
      </c>
      <c r="I89" s="19" t="n">
        <f aca="false">IFERROR(IF(D89="Sale",H89*VLOOKUP(G89,Product_Master!$A:$F,6,FALSE()),IF(D89="Purchase",H89*VLOOKUP(G89,Product_Master!$A:$F,5,FALSE()),0)),0)</f>
        <v>3000</v>
      </c>
    </row>
    <row r="90" customFormat="false" ht="14.25" hidden="false" customHeight="true" outlineLevel="0" collapsed="false">
      <c r="A90" s="15" t="n">
        <v>89</v>
      </c>
      <c r="B90" s="18" t="n">
        <v>46123</v>
      </c>
      <c r="C90" s="16" t="s">
        <v>101</v>
      </c>
      <c r="D90" s="16" t="s">
        <v>102</v>
      </c>
      <c r="E90" s="16" t="n">
        <v>74</v>
      </c>
      <c r="F90" s="16" t="s">
        <v>140</v>
      </c>
      <c r="G90" s="16" t="s">
        <v>50</v>
      </c>
      <c r="H90" s="16" t="n">
        <v>25</v>
      </c>
      <c r="I90" s="19" t="n">
        <f aca="false">IFERROR(IF(D90="Sale",H90*VLOOKUP(G90,Product_Master!$A:$F,6,FALSE()),IF(D90="Purchase",H90*VLOOKUP(G90,Product_Master!$A:$F,5,FALSE()),0)),0)</f>
        <v>5625</v>
      </c>
    </row>
    <row r="91" customFormat="false" ht="14.25" hidden="false" customHeight="true" outlineLevel="0" collapsed="false">
      <c r="A91" s="15" t="n">
        <v>90</v>
      </c>
      <c r="B91" s="18" t="n">
        <v>46123</v>
      </c>
      <c r="C91" s="16" t="s">
        <v>101</v>
      </c>
      <c r="D91" s="16" t="s">
        <v>102</v>
      </c>
      <c r="E91" s="16" t="n">
        <v>43</v>
      </c>
      <c r="F91" s="16" t="s">
        <v>108</v>
      </c>
      <c r="G91" s="16" t="s">
        <v>41</v>
      </c>
      <c r="H91" s="16" t="n">
        <v>720</v>
      </c>
      <c r="I91" s="19" t="n">
        <f aca="false">IFERROR(IF(D91="Sale",H91*VLOOKUP(G91,Product_Master!$A:$F,6,FALSE()),IF(D91="Purchase",H91*VLOOKUP(G91,Product_Master!$A:$F,5,FALSE()),0)),0)</f>
        <v>79920</v>
      </c>
    </row>
    <row r="92" customFormat="false" ht="14.25" hidden="false" customHeight="true" outlineLevel="0" collapsed="false">
      <c r="A92" s="15" t="n">
        <v>91</v>
      </c>
      <c r="B92" s="18" t="n">
        <v>46123</v>
      </c>
      <c r="C92" s="16" t="s">
        <v>101</v>
      </c>
      <c r="D92" s="16" t="s">
        <v>102</v>
      </c>
      <c r="E92" s="16" t="n">
        <v>43</v>
      </c>
      <c r="F92" s="16" t="s">
        <v>108</v>
      </c>
      <c r="G92" s="16" t="s">
        <v>42</v>
      </c>
      <c r="H92" s="16" t="n">
        <v>720</v>
      </c>
      <c r="I92" s="19" t="n">
        <f aca="false">IFERROR(IF(D92="Sale",H92*VLOOKUP(G92,Product_Master!$A:$F,6,FALSE()),IF(D92="Purchase",H92*VLOOKUP(G92,Product_Master!$A:$F,5,FALSE()),0)),0)</f>
        <v>80640</v>
      </c>
    </row>
    <row r="93" customFormat="false" ht="14.25" hidden="false" customHeight="true" outlineLevel="0" collapsed="false">
      <c r="A93" s="15" t="n">
        <v>92</v>
      </c>
      <c r="B93" s="18" t="n">
        <v>46123</v>
      </c>
      <c r="C93" s="16" t="s">
        <v>101</v>
      </c>
      <c r="D93" s="16" t="s">
        <v>102</v>
      </c>
      <c r="E93" s="16" t="n">
        <v>44</v>
      </c>
      <c r="F93" s="16" t="s">
        <v>141</v>
      </c>
      <c r="G93" s="16" t="s">
        <v>61</v>
      </c>
      <c r="H93" s="16" t="n">
        <v>30</v>
      </c>
      <c r="I93" s="19" t="n">
        <f aca="false">IFERROR(IF(D93="Sale",H93*VLOOKUP(G93,Product_Master!$A:$F,6,FALSE()),IF(D93="Purchase",H93*VLOOKUP(G93,Product_Master!$A:$F,5,FALSE()),0)),0)</f>
        <v>6870</v>
      </c>
    </row>
    <row r="94" customFormat="false" ht="14.25" hidden="false" customHeight="true" outlineLevel="0" collapsed="false">
      <c r="A94" s="15" t="n">
        <v>93</v>
      </c>
      <c r="B94" s="18" t="n">
        <v>46125</v>
      </c>
      <c r="C94" s="16" t="s">
        <v>101</v>
      </c>
      <c r="D94" s="16" t="s">
        <v>102</v>
      </c>
      <c r="E94" s="16" t="n">
        <v>45</v>
      </c>
      <c r="F94" s="16" t="s">
        <v>142</v>
      </c>
      <c r="G94" s="16" t="s">
        <v>41</v>
      </c>
      <c r="H94" s="16" t="n">
        <v>240</v>
      </c>
      <c r="I94" s="19" t="n">
        <f aca="false">IFERROR(IF(D94="Sale",H94*VLOOKUP(G94,Product_Master!$A:$F,6,FALSE()),IF(D94="Purchase",H94*VLOOKUP(G94,Product_Master!$A:$F,5,FALSE()),0)),0)</f>
        <v>26640</v>
      </c>
    </row>
    <row r="95" customFormat="false" ht="14.25" hidden="false" customHeight="true" outlineLevel="0" collapsed="false">
      <c r="A95" s="15" t="n">
        <v>94</v>
      </c>
      <c r="B95" s="18" t="n">
        <v>46125</v>
      </c>
      <c r="C95" s="16" t="s">
        <v>101</v>
      </c>
      <c r="D95" s="16" t="s">
        <v>102</v>
      </c>
      <c r="E95" s="16" t="n">
        <v>45</v>
      </c>
      <c r="F95" s="16" t="s">
        <v>142</v>
      </c>
      <c r="G95" s="16" t="s">
        <v>42</v>
      </c>
      <c r="H95" s="16" t="n">
        <v>240</v>
      </c>
      <c r="I95" s="19" t="n">
        <f aca="false">IFERROR(IF(D95="Sale",H95*VLOOKUP(G95,Product_Master!$A:$F,6,FALSE()),IF(D95="Purchase",H95*VLOOKUP(G95,Product_Master!$A:$F,5,FALSE()),0)),0)</f>
        <v>26880</v>
      </c>
    </row>
    <row r="96" customFormat="false" ht="14.25" hidden="false" customHeight="true" outlineLevel="0" collapsed="false">
      <c r="A96" s="15" t="n">
        <v>95</v>
      </c>
      <c r="B96" s="18" t="n">
        <v>46125</v>
      </c>
      <c r="C96" s="16" t="s">
        <v>101</v>
      </c>
      <c r="D96" s="16" t="s">
        <v>102</v>
      </c>
      <c r="E96" s="16" t="n">
        <v>45</v>
      </c>
      <c r="F96" s="16" t="s">
        <v>142</v>
      </c>
      <c r="G96" s="16" t="s">
        <v>43</v>
      </c>
      <c r="H96" s="16" t="n">
        <v>240</v>
      </c>
      <c r="I96" s="19" t="n">
        <f aca="false">IFERROR(IF(D96="Sale",H96*VLOOKUP(G96,Product_Master!$A:$F,6,FALSE()),IF(D96="Purchase",H96*VLOOKUP(G96,Product_Master!$A:$F,5,FALSE()),0)),0)</f>
        <v>38400</v>
      </c>
    </row>
    <row r="97" customFormat="false" ht="14.25" hidden="false" customHeight="true" outlineLevel="0" collapsed="false">
      <c r="A97" s="15" t="n">
        <v>96</v>
      </c>
      <c r="B97" s="18" t="n">
        <v>46125</v>
      </c>
      <c r="C97" s="16" t="s">
        <v>101</v>
      </c>
      <c r="D97" s="16" t="s">
        <v>102</v>
      </c>
      <c r="E97" s="16" t="n">
        <v>46</v>
      </c>
      <c r="F97" s="16" t="s">
        <v>109</v>
      </c>
      <c r="G97" s="16" t="s">
        <v>42</v>
      </c>
      <c r="H97" s="16" t="n">
        <v>120</v>
      </c>
      <c r="I97" s="19" t="n">
        <f aca="false">IFERROR(IF(D97="Sale",H97*VLOOKUP(G97,Product_Master!$A:$F,6,FALSE()),IF(D97="Purchase",H97*VLOOKUP(G97,Product_Master!$A:$F,5,FALSE()),0)),0)</f>
        <v>13440</v>
      </c>
    </row>
    <row r="98" customFormat="false" ht="14.25" hidden="false" customHeight="true" outlineLevel="0" collapsed="false">
      <c r="A98" s="15" t="n">
        <v>97</v>
      </c>
      <c r="B98" s="18" t="n">
        <v>46125</v>
      </c>
      <c r="C98" s="16" t="s">
        <v>101</v>
      </c>
      <c r="D98" s="16" t="s">
        <v>102</v>
      </c>
      <c r="E98" s="16" t="n">
        <v>46</v>
      </c>
      <c r="F98" s="16" t="s">
        <v>109</v>
      </c>
      <c r="G98" s="16" t="s">
        <v>44</v>
      </c>
      <c r="H98" s="16" t="n">
        <v>240</v>
      </c>
      <c r="I98" s="19" t="n">
        <f aca="false">IFERROR(IF(D98="Sale",H98*VLOOKUP(G98,Product_Master!$A:$F,6,FALSE()),IF(D98="Purchase",H98*VLOOKUP(G98,Product_Master!$A:$F,5,FALSE()),0)),0)</f>
        <v>32400</v>
      </c>
    </row>
    <row r="99" customFormat="false" ht="14.25" hidden="false" customHeight="true" outlineLevel="0" collapsed="false">
      <c r="A99" s="15" t="n">
        <v>98</v>
      </c>
      <c r="B99" s="18" t="n">
        <v>46125</v>
      </c>
      <c r="C99" s="16" t="s">
        <v>101</v>
      </c>
      <c r="D99" s="16" t="s">
        <v>102</v>
      </c>
      <c r="E99" s="16" t="n">
        <v>46</v>
      </c>
      <c r="F99" s="16" t="s">
        <v>109</v>
      </c>
      <c r="G99" s="16" t="s">
        <v>45</v>
      </c>
      <c r="H99" s="16" t="n">
        <v>150</v>
      </c>
      <c r="I99" s="19" t="n">
        <f aca="false">IFERROR(IF(D99="Sale",H99*VLOOKUP(G99,Product_Master!$A:$F,6,FALSE()),IF(D99="Purchase",H99*VLOOKUP(G99,Product_Master!$A:$F,5,FALSE()),0)),0)</f>
        <v>27750</v>
      </c>
    </row>
    <row r="100" customFormat="false" ht="14.25" hidden="false" customHeight="true" outlineLevel="0" collapsed="false">
      <c r="A100" s="15" t="n">
        <v>99</v>
      </c>
      <c r="B100" s="18" t="n">
        <v>46125</v>
      </c>
      <c r="C100" s="16" t="s">
        <v>101</v>
      </c>
      <c r="D100" s="16" t="s">
        <v>102</v>
      </c>
      <c r="E100" s="16" t="n">
        <v>47</v>
      </c>
      <c r="F100" s="16" t="s">
        <v>143</v>
      </c>
      <c r="G100" s="16" t="s">
        <v>57</v>
      </c>
      <c r="H100" s="16" t="n">
        <v>150</v>
      </c>
      <c r="I100" s="19" t="n">
        <f aca="false">IFERROR(IF(D100="Sale",H100*VLOOKUP(G100,Product_Master!$A:$F,6,FALSE()),IF(D100="Purchase",H100*VLOOKUP(G100,Product_Master!$A:$F,5,FALSE()),0)),0)</f>
        <v>18900</v>
      </c>
    </row>
    <row r="101" customFormat="false" ht="14.25" hidden="false" customHeight="true" outlineLevel="0" collapsed="false">
      <c r="A101" s="15" t="n">
        <v>100</v>
      </c>
      <c r="B101" s="18" t="n">
        <v>46125</v>
      </c>
      <c r="C101" s="16" t="s">
        <v>101</v>
      </c>
      <c r="D101" s="16" t="s">
        <v>102</v>
      </c>
      <c r="E101" s="16" t="n">
        <v>47</v>
      </c>
      <c r="F101" s="16" t="s">
        <v>143</v>
      </c>
      <c r="G101" s="16" t="s">
        <v>74</v>
      </c>
      <c r="H101" s="16" t="n">
        <v>150</v>
      </c>
      <c r="I101" s="19" t="n">
        <f aca="false">IFERROR(IF(D101="Sale",H101*VLOOKUP(G101,Product_Master!$A:$F,6,FALSE()),IF(D101="Purchase",H101*VLOOKUP(G101,Product_Master!$A:$F,5,FALSE()),0)),0)</f>
        <v>24000</v>
      </c>
    </row>
    <row r="102" customFormat="false" ht="14.25" hidden="false" customHeight="true" outlineLevel="0" collapsed="false">
      <c r="A102" s="15" t="n">
        <v>101</v>
      </c>
      <c r="B102" s="18" t="n">
        <v>46125</v>
      </c>
      <c r="C102" s="16" t="s">
        <v>101</v>
      </c>
      <c r="D102" s="16" t="s">
        <v>102</v>
      </c>
      <c r="E102" s="16" t="n">
        <v>47</v>
      </c>
      <c r="F102" s="16" t="s">
        <v>143</v>
      </c>
      <c r="G102" s="16" t="s">
        <v>79</v>
      </c>
      <c r="H102" s="16" t="n">
        <v>75</v>
      </c>
      <c r="I102" s="19" t="n">
        <f aca="false">IFERROR(IF(D102="Sale",H102*VLOOKUP(G102,Product_Master!$A:$F,6,FALSE()),IF(D102="Purchase",H102*VLOOKUP(G102,Product_Master!$A:$F,5,FALSE()),0)),0)</f>
        <v>9000</v>
      </c>
    </row>
    <row r="103" customFormat="false" ht="14.25" hidden="false" customHeight="true" outlineLevel="0" collapsed="false">
      <c r="A103" s="15" t="n">
        <v>102</v>
      </c>
      <c r="B103" s="18" t="n">
        <v>46125</v>
      </c>
      <c r="C103" s="16" t="s">
        <v>101</v>
      </c>
      <c r="D103" s="16" t="s">
        <v>102</v>
      </c>
      <c r="E103" s="16" t="n">
        <v>48</v>
      </c>
      <c r="F103" s="16" t="s">
        <v>135</v>
      </c>
      <c r="G103" s="16" t="s">
        <v>49</v>
      </c>
      <c r="H103" s="16" t="n">
        <v>10</v>
      </c>
      <c r="I103" s="19" t="n">
        <f aca="false">IFERROR(IF(D103="Sale",H103*VLOOKUP(G103,Product_Master!$A:$F,6,FALSE()),IF(D103="Purchase",H103*VLOOKUP(G103,Product_Master!$A:$F,5,FALSE()),0)),0)</f>
        <v>1220</v>
      </c>
    </row>
    <row r="104" customFormat="false" ht="14.25" hidden="false" customHeight="true" outlineLevel="0" collapsed="false">
      <c r="A104" s="15" t="n">
        <v>103</v>
      </c>
      <c r="B104" s="18" t="n">
        <v>46125</v>
      </c>
      <c r="C104" s="16" t="s">
        <v>101</v>
      </c>
      <c r="D104" s="16" t="s">
        <v>102</v>
      </c>
      <c r="E104" s="16" t="n">
        <v>48</v>
      </c>
      <c r="F104" s="16" t="s">
        <v>135</v>
      </c>
      <c r="G104" s="16" t="s">
        <v>75</v>
      </c>
      <c r="H104" s="16" t="n">
        <v>1</v>
      </c>
      <c r="I104" s="19" t="n">
        <f aca="false">IFERROR(IF(D104="Sale",H104*VLOOKUP(G104,Product_Master!$A:$F,6,FALSE()),IF(D104="Purchase",H104*VLOOKUP(G104,Product_Master!$A:$F,5,FALSE()),0)),0)</f>
        <v>900</v>
      </c>
    </row>
    <row r="105" customFormat="false" ht="14.25" hidden="false" customHeight="true" outlineLevel="0" collapsed="false">
      <c r="A105" s="15" t="n">
        <v>104</v>
      </c>
      <c r="B105" s="18" t="n">
        <v>46125</v>
      </c>
      <c r="C105" s="16" t="s">
        <v>101</v>
      </c>
      <c r="D105" s="16" t="s">
        <v>102</v>
      </c>
      <c r="E105" s="16" t="n">
        <v>49</v>
      </c>
      <c r="F105" s="16" t="s">
        <v>126</v>
      </c>
      <c r="G105" s="16" t="s">
        <v>50</v>
      </c>
      <c r="H105" s="16" t="n">
        <v>300</v>
      </c>
      <c r="I105" s="19" t="n">
        <f aca="false">IFERROR(IF(D105="Sale",H105*VLOOKUP(G105,Product_Master!$A:$F,6,FALSE()),IF(D105="Purchase",H105*VLOOKUP(G105,Product_Master!$A:$F,5,FALSE()),0)),0)</f>
        <v>67500</v>
      </c>
    </row>
    <row r="106" customFormat="false" ht="14.25" hidden="false" customHeight="true" outlineLevel="0" collapsed="false">
      <c r="A106" s="15" t="n">
        <v>105</v>
      </c>
      <c r="B106" s="18" t="n">
        <v>46126</v>
      </c>
      <c r="C106" s="16" t="s">
        <v>101</v>
      </c>
      <c r="D106" s="16" t="s">
        <v>102</v>
      </c>
      <c r="E106" s="16" t="n">
        <v>50</v>
      </c>
      <c r="F106" s="16" t="s">
        <v>144</v>
      </c>
      <c r="G106" s="16" t="s">
        <v>58</v>
      </c>
      <c r="H106" s="16" t="n">
        <v>1000</v>
      </c>
      <c r="I106" s="19" t="n">
        <f aca="false">IFERROR(IF(D106="Sale",H106*VLOOKUP(G106,Product_Master!$A:$F,6,FALSE()),IF(D106="Purchase",H106*VLOOKUP(G106,Product_Master!$A:$F,5,FALSE()),0)),0)</f>
        <v>203000</v>
      </c>
    </row>
    <row r="107" customFormat="false" ht="14.25" hidden="false" customHeight="true" outlineLevel="0" collapsed="false">
      <c r="A107" s="15" t="n">
        <v>106</v>
      </c>
      <c r="B107" s="18" t="n">
        <v>46126</v>
      </c>
      <c r="C107" s="16" t="s">
        <v>101</v>
      </c>
      <c r="D107" s="16" t="s">
        <v>102</v>
      </c>
      <c r="E107" s="16" t="n">
        <v>51</v>
      </c>
      <c r="F107" s="16" t="s">
        <v>127</v>
      </c>
      <c r="G107" s="16" t="s">
        <v>50</v>
      </c>
      <c r="H107" s="16" t="n">
        <v>50</v>
      </c>
      <c r="I107" s="19" t="n">
        <f aca="false">IFERROR(IF(D107="Sale",H107*VLOOKUP(G107,Product_Master!$A:$F,6,FALSE()),IF(D107="Purchase",H107*VLOOKUP(G107,Product_Master!$A:$F,5,FALSE()),0)),0)</f>
        <v>11250</v>
      </c>
    </row>
    <row r="108" customFormat="false" ht="14.25" hidden="true" customHeight="true" outlineLevel="0" collapsed="false">
      <c r="A108" s="15" t="n">
        <v>107</v>
      </c>
      <c r="B108" s="18" t="n">
        <v>46128</v>
      </c>
      <c r="C108" s="16" t="s">
        <v>101</v>
      </c>
      <c r="D108" s="16" t="s">
        <v>111</v>
      </c>
      <c r="E108" s="16"/>
      <c r="F108" s="16" t="s">
        <v>112</v>
      </c>
      <c r="G108" s="16" t="s">
        <v>44</v>
      </c>
      <c r="H108" s="16" t="n">
        <v>1320</v>
      </c>
      <c r="I108" s="19" t="n">
        <f aca="false">IFERROR(IF(D108="Sale",H108*VLOOKUP(G108,Product_Master!$A:$F,6,FALSE()),IF(D108="Purchase",H108*VLOOKUP(G108,Product_Master!$A:$F,5,FALSE()),0)),0)</f>
        <v>171600</v>
      </c>
    </row>
    <row r="109" customFormat="false" ht="14.25" hidden="false" customHeight="true" outlineLevel="0" collapsed="false">
      <c r="A109" s="15" t="n">
        <v>108</v>
      </c>
      <c r="B109" s="18" t="n">
        <v>46128</v>
      </c>
      <c r="C109" s="16" t="s">
        <v>101</v>
      </c>
      <c r="D109" s="16" t="s">
        <v>102</v>
      </c>
      <c r="E109" s="16" t="n">
        <v>77</v>
      </c>
      <c r="F109" s="16" t="s">
        <v>135</v>
      </c>
      <c r="G109" s="16" t="s">
        <v>49</v>
      </c>
      <c r="H109" s="16" t="n">
        <v>10</v>
      </c>
      <c r="I109" s="19" t="n">
        <f aca="false">IFERROR(IF(D109="Sale",H109*VLOOKUP(G109,Product_Master!$A:$F,6,FALSE()),IF(D109="Purchase",H109*VLOOKUP(G109,Product_Master!$A:$F,5,FALSE()),0)),0)</f>
        <v>1220</v>
      </c>
    </row>
    <row r="110" customFormat="false" ht="14.25" hidden="false" customHeight="true" outlineLevel="0" collapsed="false">
      <c r="A110" s="15" t="n">
        <v>109</v>
      </c>
      <c r="B110" s="18" t="n">
        <v>46128</v>
      </c>
      <c r="C110" s="16" t="s">
        <v>101</v>
      </c>
      <c r="D110" s="16" t="s">
        <v>102</v>
      </c>
      <c r="E110" s="16" t="n">
        <v>52</v>
      </c>
      <c r="F110" s="16" t="s">
        <v>145</v>
      </c>
      <c r="G110" s="16" t="s">
        <v>67</v>
      </c>
      <c r="H110" s="16" t="n">
        <v>100</v>
      </c>
      <c r="I110" s="19" t="n">
        <f aca="false">IFERROR(IF(D110="Sale",H110*VLOOKUP(G110,Product_Master!$A:$F,6,FALSE()),IF(D110="Purchase",H110*VLOOKUP(G110,Product_Master!$A:$F,5,FALSE()),0)),0)</f>
        <v>33000</v>
      </c>
    </row>
    <row r="111" customFormat="false" ht="14.25" hidden="false" customHeight="true" outlineLevel="0" collapsed="false">
      <c r="A111" s="15" t="n">
        <v>110</v>
      </c>
      <c r="B111" s="18" t="n">
        <v>46128</v>
      </c>
      <c r="C111" s="16" t="s">
        <v>101</v>
      </c>
      <c r="D111" s="16" t="s">
        <v>102</v>
      </c>
      <c r="E111" s="16" t="n">
        <v>52</v>
      </c>
      <c r="F111" s="16" t="s">
        <v>145</v>
      </c>
      <c r="G111" s="16" t="s">
        <v>73</v>
      </c>
      <c r="H111" s="16" t="n">
        <v>250</v>
      </c>
      <c r="I111" s="19" t="n">
        <f aca="false">IFERROR(IF(D111="Sale",H111*VLOOKUP(G111,Product_Master!$A:$F,6,FALSE()),IF(D111="Purchase",H111*VLOOKUP(G111,Product_Master!$A:$F,5,FALSE()),0)),0)</f>
        <v>35000</v>
      </c>
    </row>
    <row r="112" customFormat="false" ht="14.25" hidden="false" customHeight="true" outlineLevel="0" collapsed="false">
      <c r="A112" s="15" t="n">
        <v>111</v>
      </c>
      <c r="B112" s="18" t="n">
        <v>46128</v>
      </c>
      <c r="C112" s="16" t="s">
        <v>101</v>
      </c>
      <c r="D112" s="16" t="s">
        <v>102</v>
      </c>
      <c r="E112" s="16" t="n">
        <v>54</v>
      </c>
      <c r="F112" s="16" t="s">
        <v>136</v>
      </c>
      <c r="G112" s="16" t="s">
        <v>45</v>
      </c>
      <c r="H112" s="16" t="n">
        <v>300</v>
      </c>
      <c r="I112" s="19" t="n">
        <f aca="false">IFERROR(IF(D112="Sale",H112*VLOOKUP(G112,Product_Master!$A:$F,6,FALSE()),IF(D112="Purchase",H112*VLOOKUP(G112,Product_Master!$A:$F,5,FALSE()),0)),0)</f>
        <v>55500</v>
      </c>
    </row>
    <row r="113" customFormat="false" ht="14.25" hidden="false" customHeight="true" outlineLevel="0" collapsed="false">
      <c r="A113" s="15" t="n">
        <v>112</v>
      </c>
      <c r="B113" s="18" t="n">
        <v>46128</v>
      </c>
      <c r="C113" s="16" t="s">
        <v>101</v>
      </c>
      <c r="D113" s="16" t="s">
        <v>102</v>
      </c>
      <c r="E113" s="16" t="n">
        <v>55</v>
      </c>
      <c r="F113" s="16" t="s">
        <v>146</v>
      </c>
      <c r="G113" s="16" t="s">
        <v>56</v>
      </c>
      <c r="H113" s="16" t="n">
        <v>120</v>
      </c>
      <c r="I113" s="19" t="n">
        <f aca="false">IFERROR(IF(D113="Sale",H113*VLOOKUP(G113,Product_Master!$A:$F,6,FALSE()),IF(D113="Purchase",H113*VLOOKUP(G113,Product_Master!$A:$F,5,FALSE()),0)),0)</f>
        <v>12360</v>
      </c>
    </row>
    <row r="114" customFormat="false" ht="14.25" hidden="false" customHeight="true" outlineLevel="0" collapsed="false">
      <c r="A114" s="15" t="n">
        <v>113</v>
      </c>
      <c r="B114" s="18" t="n">
        <v>46129</v>
      </c>
      <c r="C114" s="16" t="s">
        <v>101</v>
      </c>
      <c r="D114" s="16" t="s">
        <v>102</v>
      </c>
      <c r="E114" s="16" t="n">
        <v>56</v>
      </c>
      <c r="F114" s="16" t="s">
        <v>147</v>
      </c>
      <c r="G114" s="16" t="s">
        <v>44</v>
      </c>
      <c r="H114" s="16" t="n">
        <v>240</v>
      </c>
      <c r="I114" s="19" t="n">
        <f aca="false">IFERROR(IF(D114="Sale",H114*VLOOKUP(G114,Product_Master!$A:$F,6,FALSE()),IF(D114="Purchase",H114*VLOOKUP(G114,Product_Master!$A:$F,5,FALSE()),0)),0)</f>
        <v>32400</v>
      </c>
    </row>
    <row r="115" customFormat="false" ht="14.25" hidden="false" customHeight="true" outlineLevel="0" collapsed="false">
      <c r="A115" s="15" t="n">
        <v>114</v>
      </c>
      <c r="B115" s="18" t="n">
        <v>46129</v>
      </c>
      <c r="C115" s="16" t="s">
        <v>101</v>
      </c>
      <c r="D115" s="16" t="s">
        <v>102</v>
      </c>
      <c r="E115" s="16" t="n">
        <v>56</v>
      </c>
      <c r="F115" s="16" t="s">
        <v>147</v>
      </c>
      <c r="G115" s="16" t="s">
        <v>51</v>
      </c>
      <c r="H115" s="16" t="n">
        <v>25</v>
      </c>
      <c r="I115" s="19" t="n">
        <f aca="false">IFERROR(IF(D115="Sale",H115*VLOOKUP(G115,Product_Master!$A:$F,6,FALSE()),IF(D115="Purchase",H115*VLOOKUP(G115,Product_Master!$A:$F,5,FALSE()),0)),0)</f>
        <v>7050</v>
      </c>
    </row>
    <row r="116" customFormat="false" ht="14.25" hidden="false" customHeight="true" outlineLevel="0" collapsed="false">
      <c r="A116" s="15" t="n">
        <v>115</v>
      </c>
      <c r="B116" s="18" t="n">
        <v>46129</v>
      </c>
      <c r="C116" s="16" t="s">
        <v>101</v>
      </c>
      <c r="D116" s="16" t="s">
        <v>102</v>
      </c>
      <c r="E116" s="16" t="n">
        <v>57</v>
      </c>
      <c r="F116" s="16" t="s">
        <v>148</v>
      </c>
      <c r="G116" s="16" t="s">
        <v>42</v>
      </c>
      <c r="H116" s="16" t="n">
        <v>120</v>
      </c>
      <c r="I116" s="19" t="n">
        <f aca="false">IFERROR(IF(D116="Sale",H116*VLOOKUP(G116,Product_Master!$A:$F,6,FALSE()),IF(D116="Purchase",H116*VLOOKUP(G116,Product_Master!$A:$F,5,FALSE()),0)),0)</f>
        <v>13440</v>
      </c>
    </row>
    <row r="117" customFormat="false" ht="14.25" hidden="false" customHeight="true" outlineLevel="0" collapsed="false">
      <c r="A117" s="15" t="n">
        <v>116</v>
      </c>
      <c r="B117" s="18" t="n">
        <v>46129</v>
      </c>
      <c r="C117" s="16" t="s">
        <v>101</v>
      </c>
      <c r="D117" s="16" t="s">
        <v>102</v>
      </c>
      <c r="E117" s="16" t="n">
        <v>57</v>
      </c>
      <c r="F117" s="16" t="s">
        <v>148</v>
      </c>
      <c r="G117" s="16" t="s">
        <v>44</v>
      </c>
      <c r="H117" s="16" t="n">
        <v>120</v>
      </c>
      <c r="I117" s="19" t="n">
        <f aca="false">IFERROR(IF(D117="Sale",H117*VLOOKUP(G117,Product_Master!$A:$F,6,FALSE()),IF(D117="Purchase",H117*VLOOKUP(G117,Product_Master!$A:$F,5,FALSE()),0)),0)</f>
        <v>16200</v>
      </c>
    </row>
    <row r="118" customFormat="false" ht="14.25" hidden="false" customHeight="true" outlineLevel="0" collapsed="false">
      <c r="A118" s="15" t="n">
        <v>117</v>
      </c>
      <c r="B118" s="18" t="n">
        <v>46129</v>
      </c>
      <c r="C118" s="16" t="s">
        <v>101</v>
      </c>
      <c r="D118" s="16" t="s">
        <v>102</v>
      </c>
      <c r="E118" s="16" t="n">
        <v>58</v>
      </c>
      <c r="F118" s="16" t="s">
        <v>118</v>
      </c>
      <c r="G118" s="16" t="s">
        <v>50</v>
      </c>
      <c r="H118" s="16" t="n">
        <v>200</v>
      </c>
      <c r="I118" s="19" t="n">
        <f aca="false">IFERROR(IF(D118="Sale",H118*VLOOKUP(G118,Product_Master!$A:$F,6,FALSE()),IF(D118="Purchase",H118*VLOOKUP(G118,Product_Master!$A:$F,5,FALSE()),0)),0)</f>
        <v>45000</v>
      </c>
    </row>
    <row r="119" customFormat="false" ht="14.25" hidden="false" customHeight="true" outlineLevel="0" collapsed="false">
      <c r="A119" s="15" t="n">
        <v>118</v>
      </c>
      <c r="B119" s="18" t="n">
        <v>46130</v>
      </c>
      <c r="C119" s="16" t="s">
        <v>101</v>
      </c>
      <c r="D119" s="16" t="s">
        <v>102</v>
      </c>
      <c r="E119" s="16" t="n">
        <v>59</v>
      </c>
      <c r="F119" s="16" t="s">
        <v>145</v>
      </c>
      <c r="G119" s="16" t="s">
        <v>91</v>
      </c>
      <c r="H119" s="16" t="n">
        <v>220</v>
      </c>
      <c r="I119" s="19" t="n">
        <f aca="false">IFERROR(IF(D119="Sale",H119*VLOOKUP(G119,Product_Master!$A:$F,6,FALSE()),IF(D119="Purchase",H119*VLOOKUP(G119,Product_Master!$A:$F,5,FALSE()),0)),0)</f>
        <v>59400</v>
      </c>
    </row>
    <row r="120" customFormat="false" ht="14.25" hidden="false" customHeight="true" outlineLevel="0" collapsed="false">
      <c r="A120" s="15" t="n">
        <v>119</v>
      </c>
      <c r="B120" s="18" t="n">
        <v>46130</v>
      </c>
      <c r="C120" s="16" t="s">
        <v>101</v>
      </c>
      <c r="D120" s="16" t="s">
        <v>102</v>
      </c>
      <c r="E120" s="16" t="n">
        <v>60</v>
      </c>
      <c r="F120" s="16" t="s">
        <v>131</v>
      </c>
      <c r="G120" s="16" t="s">
        <v>42</v>
      </c>
      <c r="H120" s="16" t="n">
        <v>120</v>
      </c>
      <c r="I120" s="19" t="n">
        <f aca="false">IFERROR(IF(D120="Sale",H120*VLOOKUP(G120,Product_Master!$A:$F,6,FALSE()),IF(D120="Purchase",H120*VLOOKUP(G120,Product_Master!$A:$F,5,FALSE()),0)),0)</f>
        <v>13440</v>
      </c>
    </row>
    <row r="121" customFormat="false" ht="14.25" hidden="false" customHeight="true" outlineLevel="0" collapsed="false">
      <c r="A121" s="15" t="n">
        <v>120</v>
      </c>
      <c r="B121" s="18" t="n">
        <v>46130</v>
      </c>
      <c r="C121" s="16" t="s">
        <v>101</v>
      </c>
      <c r="D121" s="16" t="s">
        <v>102</v>
      </c>
      <c r="E121" s="16" t="n">
        <v>61</v>
      </c>
      <c r="F121" s="16" t="s">
        <v>113</v>
      </c>
      <c r="G121" s="16" t="s">
        <v>41</v>
      </c>
      <c r="H121" s="16" t="n">
        <v>120</v>
      </c>
      <c r="I121" s="19" t="n">
        <f aca="false">IFERROR(IF(D121="Sale",H121*VLOOKUP(G121,Product_Master!$A:$F,6,FALSE()),IF(D121="Purchase",H121*VLOOKUP(G121,Product_Master!$A:$F,5,FALSE()),0)),0)</f>
        <v>13320</v>
      </c>
    </row>
    <row r="122" customFormat="false" ht="14.25" hidden="true" customHeight="true" outlineLevel="0" collapsed="false">
      <c r="A122" s="15" t="n">
        <v>121</v>
      </c>
      <c r="B122" s="18" t="n">
        <v>46131</v>
      </c>
      <c r="C122" s="16" t="s">
        <v>101</v>
      </c>
      <c r="D122" s="16" t="s">
        <v>111</v>
      </c>
      <c r="E122" s="16"/>
      <c r="F122" s="16" t="s">
        <v>149</v>
      </c>
      <c r="G122" s="16" t="s">
        <v>49</v>
      </c>
      <c r="H122" s="16" t="n">
        <v>2040</v>
      </c>
      <c r="I122" s="19" t="n">
        <f aca="false">IFERROR(IF(D122="Sale",H122*VLOOKUP(G122,Product_Master!$A:$F,6,FALSE()),IF(D122="Purchase",H122*VLOOKUP(G122,Product_Master!$A:$F,5,FALSE()),0)),0)</f>
        <v>91800</v>
      </c>
    </row>
    <row r="123" customFormat="false" ht="14.25" hidden="false" customHeight="true" outlineLevel="0" collapsed="false">
      <c r="A123" s="15" t="n">
        <v>122</v>
      </c>
      <c r="B123" s="18" t="n">
        <v>46132</v>
      </c>
      <c r="C123" s="16" t="s">
        <v>101</v>
      </c>
      <c r="D123" s="16" t="s">
        <v>102</v>
      </c>
      <c r="E123" s="16" t="n">
        <v>62</v>
      </c>
      <c r="F123" s="16" t="s">
        <v>109</v>
      </c>
      <c r="G123" s="16" t="s">
        <v>40</v>
      </c>
      <c r="H123" s="16" t="n">
        <v>120</v>
      </c>
      <c r="I123" s="19" t="n">
        <f aca="false">IFERROR(IF(D123="Sale",H123*VLOOKUP(G123,Product_Master!$A:$F,6,FALSE()),IF(D123="Purchase",H123*VLOOKUP(G123,Product_Master!$A:$F,5,FALSE()),0)),0)</f>
        <v>12240</v>
      </c>
    </row>
    <row r="124" customFormat="false" ht="14.25" hidden="false" customHeight="true" outlineLevel="0" collapsed="false">
      <c r="A124" s="15" t="n">
        <v>123</v>
      </c>
      <c r="B124" s="18" t="n">
        <v>46132</v>
      </c>
      <c r="C124" s="16" t="s">
        <v>101</v>
      </c>
      <c r="D124" s="16" t="s">
        <v>102</v>
      </c>
      <c r="E124" s="16" t="n">
        <v>62</v>
      </c>
      <c r="F124" s="16" t="s">
        <v>109</v>
      </c>
      <c r="G124" s="16" t="s">
        <v>41</v>
      </c>
      <c r="H124" s="16" t="n">
        <v>120</v>
      </c>
      <c r="I124" s="19" t="n">
        <f aca="false">IFERROR(IF(D124="Sale",H124*VLOOKUP(G124,Product_Master!$A:$F,6,FALSE()),IF(D124="Purchase",H124*VLOOKUP(G124,Product_Master!$A:$F,5,FALSE()),0)),0)</f>
        <v>13320</v>
      </c>
    </row>
    <row r="125" customFormat="false" ht="14.25" hidden="false" customHeight="true" outlineLevel="0" collapsed="false">
      <c r="A125" s="15" t="n">
        <v>124</v>
      </c>
      <c r="B125" s="18" t="n">
        <v>46132</v>
      </c>
      <c r="C125" s="16" t="s">
        <v>101</v>
      </c>
      <c r="D125" s="16" t="s">
        <v>102</v>
      </c>
      <c r="E125" s="16" t="n">
        <v>62</v>
      </c>
      <c r="F125" s="16" t="s">
        <v>109</v>
      </c>
      <c r="G125" s="16" t="s">
        <v>42</v>
      </c>
      <c r="H125" s="16" t="n">
        <v>120</v>
      </c>
      <c r="I125" s="19" t="n">
        <f aca="false">IFERROR(IF(D125="Sale",H125*VLOOKUP(G125,Product_Master!$A:$F,6,FALSE()),IF(D125="Purchase",H125*VLOOKUP(G125,Product_Master!$A:$F,5,FALSE()),0)),0)</f>
        <v>13440</v>
      </c>
    </row>
    <row r="126" customFormat="false" ht="14.25" hidden="false" customHeight="true" outlineLevel="0" collapsed="false">
      <c r="A126" s="15" t="n">
        <v>125</v>
      </c>
      <c r="B126" s="18" t="n">
        <v>46132</v>
      </c>
      <c r="C126" s="16" t="s">
        <v>101</v>
      </c>
      <c r="D126" s="16" t="s">
        <v>102</v>
      </c>
      <c r="E126" s="16" t="n">
        <v>62</v>
      </c>
      <c r="F126" s="16" t="s">
        <v>109</v>
      </c>
      <c r="G126" s="16" t="s">
        <v>43</v>
      </c>
      <c r="H126" s="16" t="n">
        <v>120</v>
      </c>
      <c r="I126" s="19" t="n">
        <f aca="false">IFERROR(IF(D126="Sale",H126*VLOOKUP(G126,Product_Master!$A:$F,6,FALSE()),IF(D126="Purchase",H126*VLOOKUP(G126,Product_Master!$A:$F,5,FALSE()),0)),0)</f>
        <v>19200</v>
      </c>
    </row>
    <row r="127" customFormat="false" ht="14.25" hidden="false" customHeight="true" outlineLevel="0" collapsed="false">
      <c r="A127" s="15" t="n">
        <v>126</v>
      </c>
      <c r="B127" s="18" t="n">
        <v>46132</v>
      </c>
      <c r="C127" s="16" t="s">
        <v>101</v>
      </c>
      <c r="D127" s="16" t="s">
        <v>102</v>
      </c>
      <c r="E127" s="16" t="n">
        <v>62</v>
      </c>
      <c r="F127" s="16" t="s">
        <v>109</v>
      </c>
      <c r="G127" s="16" t="s">
        <v>44</v>
      </c>
      <c r="H127" s="16" t="n">
        <v>120</v>
      </c>
      <c r="I127" s="19" t="n">
        <f aca="false">IFERROR(IF(D127="Sale",H127*VLOOKUP(G127,Product_Master!$A:$F,6,FALSE()),IF(D127="Purchase",H127*VLOOKUP(G127,Product_Master!$A:$F,5,FALSE()),0)),0)</f>
        <v>16200</v>
      </c>
    </row>
    <row r="128" customFormat="false" ht="14.25" hidden="false" customHeight="true" outlineLevel="0" collapsed="false">
      <c r="A128" s="15" t="n">
        <v>127</v>
      </c>
      <c r="B128" s="18" t="n">
        <v>46132</v>
      </c>
      <c r="C128" s="16" t="s">
        <v>101</v>
      </c>
      <c r="D128" s="16" t="s">
        <v>102</v>
      </c>
      <c r="E128" s="16" t="n">
        <v>62</v>
      </c>
      <c r="F128" s="16" t="s">
        <v>109</v>
      </c>
      <c r="G128" s="16" t="s">
        <v>45</v>
      </c>
      <c r="H128" s="16" t="n">
        <v>150</v>
      </c>
      <c r="I128" s="19" t="n">
        <f aca="false">IFERROR(IF(D128="Sale",H128*VLOOKUP(G128,Product_Master!$A:$F,6,FALSE()),IF(D128="Purchase",H128*VLOOKUP(G128,Product_Master!$A:$F,5,FALSE()),0)),0)</f>
        <v>27750</v>
      </c>
    </row>
    <row r="129" customFormat="false" ht="14.25" hidden="false" customHeight="true" outlineLevel="0" collapsed="false">
      <c r="A129" s="15" t="n">
        <v>128</v>
      </c>
      <c r="B129" s="18" t="n">
        <v>46132</v>
      </c>
      <c r="C129" s="16" t="s">
        <v>101</v>
      </c>
      <c r="D129" s="16" t="s">
        <v>102</v>
      </c>
      <c r="E129" s="16" t="n">
        <v>63</v>
      </c>
      <c r="F129" s="16" t="s">
        <v>150</v>
      </c>
      <c r="G129" s="16" t="s">
        <v>67</v>
      </c>
      <c r="H129" s="16" t="n">
        <v>50</v>
      </c>
      <c r="I129" s="19" t="n">
        <f aca="false">IFERROR(IF(D129="Sale",H129*VLOOKUP(G129,Product_Master!$A:$F,6,FALSE()),IF(D129="Purchase",H129*VLOOKUP(G129,Product_Master!$A:$F,5,FALSE()),0)),0)</f>
        <v>16500</v>
      </c>
    </row>
    <row r="130" customFormat="false" ht="14.25" hidden="false" customHeight="true" outlineLevel="0" collapsed="false">
      <c r="A130" s="15" t="n">
        <v>129</v>
      </c>
      <c r="B130" s="18" t="n">
        <v>46132</v>
      </c>
      <c r="C130" s="16" t="s">
        <v>101</v>
      </c>
      <c r="D130" s="16" t="s">
        <v>102</v>
      </c>
      <c r="E130" s="16" t="n">
        <v>64</v>
      </c>
      <c r="F130" s="16" t="s">
        <v>121</v>
      </c>
      <c r="G130" s="16" t="s">
        <v>41</v>
      </c>
      <c r="H130" s="16" t="n">
        <v>120</v>
      </c>
      <c r="I130" s="19" t="n">
        <f aca="false">IFERROR(IF(D130="Sale",H130*VLOOKUP(G130,Product_Master!$A:$F,6,FALSE()),IF(D130="Purchase",H130*VLOOKUP(G130,Product_Master!$A:$F,5,FALSE()),0)),0)</f>
        <v>13320</v>
      </c>
    </row>
    <row r="131" customFormat="false" ht="14.25" hidden="false" customHeight="true" outlineLevel="0" collapsed="false">
      <c r="A131" s="15" t="n">
        <v>130</v>
      </c>
      <c r="B131" s="18" t="n">
        <v>46132</v>
      </c>
      <c r="C131" s="16" t="s">
        <v>101</v>
      </c>
      <c r="D131" s="16" t="s">
        <v>102</v>
      </c>
      <c r="E131" s="16" t="n">
        <v>65</v>
      </c>
      <c r="F131" s="16" t="s">
        <v>151</v>
      </c>
      <c r="G131" s="16" t="s">
        <v>59</v>
      </c>
      <c r="H131" s="16" t="n">
        <v>25</v>
      </c>
      <c r="I131" s="19" t="n">
        <f aca="false">IFERROR(IF(D131="Sale",H131*VLOOKUP(G131,Product_Master!$A:$F,6,FALSE()),IF(D131="Purchase",H131*VLOOKUP(G131,Product_Master!$A:$F,5,FALSE()),0)),0)</f>
        <v>3700</v>
      </c>
    </row>
    <row r="132" customFormat="false" ht="14.25" hidden="false" customHeight="true" outlineLevel="0" collapsed="false">
      <c r="A132" s="15" t="n">
        <v>131</v>
      </c>
      <c r="B132" s="18" t="n">
        <v>46133</v>
      </c>
      <c r="C132" s="16" t="s">
        <v>101</v>
      </c>
      <c r="D132" s="16" t="s">
        <v>102</v>
      </c>
      <c r="E132" s="16" t="n">
        <v>66</v>
      </c>
      <c r="F132" s="16" t="s">
        <v>152</v>
      </c>
      <c r="G132" s="16" t="s">
        <v>38</v>
      </c>
      <c r="H132" s="16" t="n">
        <v>110</v>
      </c>
      <c r="I132" s="19" t="n">
        <f aca="false">IFERROR(IF(D132="Sale",H132*VLOOKUP(G132,Product_Master!$A:$F,6,FALSE()),IF(D132="Purchase",H132*VLOOKUP(G132,Product_Master!$A:$F,5,FALSE()),0)),0)</f>
        <v>10230</v>
      </c>
    </row>
    <row r="133" customFormat="false" ht="14.25" hidden="false" customHeight="true" outlineLevel="0" collapsed="false">
      <c r="A133" s="15" t="n">
        <v>132</v>
      </c>
      <c r="B133" s="18" t="n">
        <v>46133</v>
      </c>
      <c r="C133" s="16" t="s">
        <v>101</v>
      </c>
      <c r="D133" s="16" t="s">
        <v>102</v>
      </c>
      <c r="E133" s="16" t="n">
        <v>66</v>
      </c>
      <c r="F133" s="16" t="s">
        <v>152</v>
      </c>
      <c r="G133" s="16" t="s">
        <v>53</v>
      </c>
      <c r="H133" s="16" t="n">
        <v>250</v>
      </c>
      <c r="I133" s="19" t="n">
        <f aca="false">IFERROR(IF(D133="Sale",H133*VLOOKUP(G133,Product_Master!$A:$F,6,FALSE()),IF(D133="Purchase",H133*VLOOKUP(G133,Product_Master!$A:$F,5,FALSE()),0)),0)</f>
        <v>21250</v>
      </c>
    </row>
    <row r="134" customFormat="false" ht="14.25" hidden="false" customHeight="true" outlineLevel="0" collapsed="false">
      <c r="A134" s="15" t="n">
        <v>133</v>
      </c>
      <c r="B134" s="18" t="n">
        <v>46133</v>
      </c>
      <c r="C134" s="16" t="s">
        <v>101</v>
      </c>
      <c r="D134" s="16" t="s">
        <v>102</v>
      </c>
      <c r="E134" s="16" t="n">
        <v>67</v>
      </c>
      <c r="F134" s="16" t="s">
        <v>153</v>
      </c>
      <c r="G134" s="16" t="s">
        <v>57</v>
      </c>
      <c r="H134" s="16" t="n">
        <v>200</v>
      </c>
      <c r="I134" s="19" t="n">
        <f aca="false">IFERROR(IF(D134="Sale",H134*VLOOKUP(G134,Product_Master!$A:$F,6,FALSE()),IF(D134="Purchase",H134*VLOOKUP(G134,Product_Master!$A:$F,5,FALSE()),0)),0)</f>
        <v>25200</v>
      </c>
    </row>
    <row r="135" customFormat="false" ht="14.25" hidden="false" customHeight="true" outlineLevel="0" collapsed="false">
      <c r="A135" s="15" t="n">
        <v>134</v>
      </c>
      <c r="B135" s="18" t="n">
        <v>46133</v>
      </c>
      <c r="C135" s="16" t="s">
        <v>101</v>
      </c>
      <c r="D135" s="16" t="s">
        <v>102</v>
      </c>
      <c r="E135" s="16" t="n">
        <v>68</v>
      </c>
      <c r="F135" s="16" t="s">
        <v>124</v>
      </c>
      <c r="G135" s="16" t="s">
        <v>38</v>
      </c>
      <c r="H135" s="16" t="n">
        <v>220</v>
      </c>
      <c r="I135" s="19" t="n">
        <f aca="false">IFERROR(IF(D135="Sale",H135*VLOOKUP(G135,Product_Master!$A:$F,6,FALSE()),IF(D135="Purchase",H135*VLOOKUP(G135,Product_Master!$A:$F,5,FALSE()),0)),0)</f>
        <v>20460</v>
      </c>
    </row>
    <row r="136" customFormat="false" ht="14.25" hidden="true" customHeight="true" outlineLevel="0" collapsed="false">
      <c r="A136" s="15" t="n">
        <v>135</v>
      </c>
      <c r="B136" s="18" t="n">
        <v>46134</v>
      </c>
      <c r="C136" s="16" t="s">
        <v>101</v>
      </c>
      <c r="D136" s="16" t="s">
        <v>111</v>
      </c>
      <c r="E136" s="16"/>
      <c r="F136" s="16" t="s">
        <v>154</v>
      </c>
      <c r="G136" s="16" t="s">
        <v>50</v>
      </c>
      <c r="H136" s="16" t="n">
        <v>2000</v>
      </c>
      <c r="I136" s="19" t="n">
        <f aca="false">IFERROR(IF(D136="Sale",H136*VLOOKUP(G136,Product_Master!$A:$F,6,FALSE()),IF(D136="Purchase",H136*VLOOKUP(G136,Product_Master!$A:$F,5,FALSE()),0)),0)</f>
        <v>350000</v>
      </c>
    </row>
    <row r="137" customFormat="false" ht="14.25" hidden="true" customHeight="true" outlineLevel="0" collapsed="false">
      <c r="A137" s="15" t="n">
        <v>136</v>
      </c>
      <c r="B137" s="18" t="n">
        <v>46134</v>
      </c>
      <c r="C137" s="16" t="s">
        <v>101</v>
      </c>
      <c r="D137" s="16" t="s">
        <v>111</v>
      </c>
      <c r="E137" s="16"/>
      <c r="F137" s="16" t="s">
        <v>154</v>
      </c>
      <c r="G137" s="16" t="s">
        <v>51</v>
      </c>
      <c r="H137" s="16" t="n">
        <v>500</v>
      </c>
      <c r="I137" s="19" t="n">
        <f aca="false">IFERROR(IF(D137="Sale",H137*VLOOKUP(G137,Product_Master!$A:$F,6,FALSE()),IF(D137="Purchase",H137*VLOOKUP(G137,Product_Master!$A:$F,5,FALSE()),0)),0)</f>
        <v>115000</v>
      </c>
    </row>
    <row r="138" customFormat="false" ht="14.25" hidden="false" customHeight="true" outlineLevel="0" collapsed="false">
      <c r="A138" s="15" t="n">
        <v>137</v>
      </c>
      <c r="B138" s="18" t="n">
        <v>46134</v>
      </c>
      <c r="C138" s="16" t="s">
        <v>101</v>
      </c>
      <c r="D138" s="16" t="s">
        <v>102</v>
      </c>
      <c r="E138" s="16" t="n">
        <v>69</v>
      </c>
      <c r="F138" s="16" t="s">
        <v>122</v>
      </c>
      <c r="G138" s="16" t="s">
        <v>60</v>
      </c>
      <c r="H138" s="16" t="n">
        <v>120</v>
      </c>
      <c r="I138" s="19" t="n">
        <f aca="false">IFERROR(IF(D138="Sale",H138*VLOOKUP(G138,Product_Master!$A:$F,6,FALSE()),IF(D138="Purchase",H138*VLOOKUP(G138,Product_Master!$A:$F,5,FALSE()),0)),0)</f>
        <v>23760</v>
      </c>
    </row>
    <row r="139" customFormat="false" ht="14.25" hidden="false" customHeight="true" outlineLevel="0" collapsed="false">
      <c r="A139" s="15" t="n">
        <v>138</v>
      </c>
      <c r="B139" s="18" t="n">
        <v>46135</v>
      </c>
      <c r="C139" s="16" t="s">
        <v>101</v>
      </c>
      <c r="D139" s="16" t="s">
        <v>102</v>
      </c>
      <c r="E139" s="16" t="n">
        <v>80</v>
      </c>
      <c r="F139" s="16" t="s">
        <v>140</v>
      </c>
      <c r="G139" s="16" t="s">
        <v>50</v>
      </c>
      <c r="H139" s="16" t="n">
        <v>25</v>
      </c>
      <c r="I139" s="19" t="n">
        <f aca="false">IFERROR(IF(D139="Sale",H139*VLOOKUP(G139,Product_Master!$A:$F,6,FALSE()),IF(D139="Purchase",H139*VLOOKUP(G139,Product_Master!$A:$F,5,FALSE()),0)),0)</f>
        <v>5625</v>
      </c>
    </row>
    <row r="140" customFormat="false" ht="14.25" hidden="false" customHeight="true" outlineLevel="0" collapsed="false">
      <c r="A140" s="15" t="n">
        <v>139</v>
      </c>
      <c r="B140" s="18" t="n">
        <v>46135</v>
      </c>
      <c r="C140" s="16" t="s">
        <v>101</v>
      </c>
      <c r="D140" s="16" t="s">
        <v>102</v>
      </c>
      <c r="E140" s="16" t="n">
        <v>81</v>
      </c>
      <c r="F140" s="16" t="s">
        <v>110</v>
      </c>
      <c r="G140" s="16" t="s">
        <v>42</v>
      </c>
      <c r="H140" s="16" t="n">
        <v>240</v>
      </c>
      <c r="I140" s="19" t="n">
        <f aca="false">IFERROR(IF(D140="Sale",H140*VLOOKUP(G140,Product_Master!$A:$F,6,FALSE()),IF(D140="Purchase",H140*VLOOKUP(G140,Product_Master!$A:$F,5,FALSE()),0)),0)</f>
        <v>26880</v>
      </c>
    </row>
    <row r="141" customFormat="false" ht="14.25" hidden="false" customHeight="true" outlineLevel="0" collapsed="false">
      <c r="A141" s="15" t="n">
        <v>140</v>
      </c>
      <c r="B141" s="18" t="n">
        <v>46135</v>
      </c>
      <c r="C141" s="16" t="s">
        <v>101</v>
      </c>
      <c r="D141" s="16" t="s">
        <v>102</v>
      </c>
      <c r="E141" s="16" t="n">
        <v>70</v>
      </c>
      <c r="F141" s="16" t="s">
        <v>134</v>
      </c>
      <c r="G141" s="16" t="s">
        <v>40</v>
      </c>
      <c r="H141" s="16" t="n">
        <v>120</v>
      </c>
      <c r="I141" s="19" t="n">
        <f aca="false">IFERROR(IF(D141="Sale",H141*VLOOKUP(G141,Product_Master!$A:$F,6,FALSE()),IF(D141="Purchase",H141*VLOOKUP(G141,Product_Master!$A:$F,5,FALSE()),0)),0)</f>
        <v>12240</v>
      </c>
    </row>
    <row r="142" customFormat="false" ht="14.25" hidden="false" customHeight="true" outlineLevel="0" collapsed="false">
      <c r="A142" s="15" t="n">
        <v>141</v>
      </c>
      <c r="B142" s="18" t="n">
        <v>46135</v>
      </c>
      <c r="C142" s="16" t="s">
        <v>101</v>
      </c>
      <c r="D142" s="16" t="s">
        <v>102</v>
      </c>
      <c r="E142" s="16" t="n">
        <v>70</v>
      </c>
      <c r="F142" s="16" t="s">
        <v>134</v>
      </c>
      <c r="G142" s="16" t="s">
        <v>41</v>
      </c>
      <c r="H142" s="16" t="n">
        <v>120</v>
      </c>
      <c r="I142" s="19" t="n">
        <f aca="false">IFERROR(IF(D142="Sale",H142*VLOOKUP(G142,Product_Master!$A:$F,6,FALSE()),IF(D142="Purchase",H142*VLOOKUP(G142,Product_Master!$A:$F,5,FALSE()),0)),0)</f>
        <v>13320</v>
      </c>
    </row>
    <row r="143" customFormat="false" ht="14.25" hidden="false" customHeight="true" outlineLevel="0" collapsed="false">
      <c r="A143" s="15" t="n">
        <v>142</v>
      </c>
      <c r="B143" s="18" t="n">
        <v>46135</v>
      </c>
      <c r="C143" s="16" t="s">
        <v>101</v>
      </c>
      <c r="D143" s="16" t="s">
        <v>102</v>
      </c>
      <c r="E143" s="16" t="n">
        <v>71</v>
      </c>
      <c r="F143" s="16" t="s">
        <v>130</v>
      </c>
      <c r="G143" s="16" t="s">
        <v>67</v>
      </c>
      <c r="H143" s="16" t="n">
        <v>100</v>
      </c>
      <c r="I143" s="19" t="n">
        <f aca="false">IFERROR(IF(D143="Sale",H143*VLOOKUP(G143,Product_Master!$A:$F,6,FALSE()),IF(D143="Purchase",H143*VLOOKUP(G143,Product_Master!$A:$F,5,FALSE()),0)),0)</f>
        <v>33000</v>
      </c>
    </row>
    <row r="144" customFormat="false" ht="14.25" hidden="false" customHeight="true" outlineLevel="0" collapsed="false">
      <c r="A144" s="15" t="n">
        <v>143</v>
      </c>
      <c r="B144" s="18" t="n">
        <v>46135</v>
      </c>
      <c r="C144" s="16" t="s">
        <v>101</v>
      </c>
      <c r="D144" s="16" t="s">
        <v>102</v>
      </c>
      <c r="E144" s="16" t="n">
        <v>72</v>
      </c>
      <c r="F144" s="16" t="s">
        <v>131</v>
      </c>
      <c r="G144" s="16" t="s">
        <v>55</v>
      </c>
      <c r="H144" s="16" t="n">
        <v>50</v>
      </c>
      <c r="I144" s="19" t="n">
        <f aca="false">IFERROR(IF(D144="Sale",H144*VLOOKUP(G144,Product_Master!$A:$F,6,FALSE()),IF(D144="Purchase",H144*VLOOKUP(G144,Product_Master!$A:$F,5,FALSE()),0)),0)</f>
        <v>9000</v>
      </c>
    </row>
    <row r="145" customFormat="false" ht="14.25" hidden="false" customHeight="true" outlineLevel="0" collapsed="false">
      <c r="A145" s="15" t="n">
        <v>144</v>
      </c>
      <c r="B145" s="18" t="n">
        <v>46135</v>
      </c>
      <c r="C145" s="16" t="s">
        <v>101</v>
      </c>
      <c r="D145" s="16" t="s">
        <v>102</v>
      </c>
      <c r="E145" s="16" t="n">
        <v>137</v>
      </c>
      <c r="F145" s="16" t="s">
        <v>155</v>
      </c>
      <c r="G145" s="16" t="s">
        <v>51</v>
      </c>
      <c r="H145" s="16" t="n">
        <v>60</v>
      </c>
      <c r="I145" s="19" t="n">
        <f aca="false">IFERROR(IF(D145="Sale",H145*VLOOKUP(G145,Product_Master!$A:$F,6,FALSE()),IF(D145="Purchase",H145*VLOOKUP(G145,Product_Master!$A:$F,5,FALSE()),0)),0)</f>
        <v>16920</v>
      </c>
    </row>
    <row r="146" customFormat="false" ht="14.25" hidden="false" customHeight="true" outlineLevel="0" collapsed="false">
      <c r="A146" s="15" t="n">
        <v>145</v>
      </c>
      <c r="B146" s="18" t="n">
        <v>46136</v>
      </c>
      <c r="C146" s="16" t="s">
        <v>101</v>
      </c>
      <c r="D146" s="16" t="s">
        <v>102</v>
      </c>
      <c r="E146" s="16" t="n">
        <v>82</v>
      </c>
      <c r="F146" s="16" t="s">
        <v>135</v>
      </c>
      <c r="G146" s="16" t="s">
        <v>49</v>
      </c>
      <c r="H146" s="16" t="n">
        <v>2</v>
      </c>
      <c r="I146" s="19" t="n">
        <f aca="false">IFERROR(IF(D146="Sale",H146*VLOOKUP(G146,Product_Master!$A:$F,6,FALSE()),IF(D146="Purchase",H146*VLOOKUP(G146,Product_Master!$A:$F,5,FALSE()),0)),0)</f>
        <v>244</v>
      </c>
    </row>
    <row r="147" customFormat="false" ht="14.25" hidden="false" customHeight="true" outlineLevel="0" collapsed="false">
      <c r="A147" s="15" t="n">
        <v>146</v>
      </c>
      <c r="B147" s="18" t="n">
        <v>46137</v>
      </c>
      <c r="C147" s="16" t="s">
        <v>101</v>
      </c>
      <c r="D147" s="16" t="s">
        <v>102</v>
      </c>
      <c r="E147" s="16" t="n">
        <v>74</v>
      </c>
      <c r="F147" s="16" t="s">
        <v>114</v>
      </c>
      <c r="G147" s="16" t="s">
        <v>39</v>
      </c>
      <c r="H147" s="16" t="n">
        <v>480</v>
      </c>
      <c r="I147" s="19" t="n">
        <f aca="false">IFERROR(IF(D147="Sale",H147*VLOOKUP(G147,Product_Master!$A:$F,6,FALSE()),IF(D147="Purchase",H147*VLOOKUP(G147,Product_Master!$A:$F,5,FALSE()),0)),0)</f>
        <v>50880</v>
      </c>
    </row>
    <row r="148" customFormat="false" ht="14.25" hidden="false" customHeight="true" outlineLevel="0" collapsed="false">
      <c r="A148" s="15" t="n">
        <v>147</v>
      </c>
      <c r="B148" s="18" t="n">
        <v>46137</v>
      </c>
      <c r="C148" s="16" t="s">
        <v>101</v>
      </c>
      <c r="D148" s="16" t="s">
        <v>102</v>
      </c>
      <c r="E148" s="16" t="n">
        <v>75</v>
      </c>
      <c r="F148" s="16" t="s">
        <v>156</v>
      </c>
      <c r="G148" s="16" t="s">
        <v>75</v>
      </c>
      <c r="H148" s="16" t="n">
        <v>20</v>
      </c>
      <c r="I148" s="19" t="n">
        <f aca="false">IFERROR(IF(D148="Sale",H148*VLOOKUP(G148,Product_Master!$A:$F,6,FALSE()),IF(D148="Purchase",H148*VLOOKUP(G148,Product_Master!$A:$F,5,FALSE()),0)),0)</f>
        <v>18000</v>
      </c>
    </row>
    <row r="149" customFormat="false" ht="14.25" hidden="false" customHeight="true" outlineLevel="0" collapsed="false">
      <c r="A149" s="15" t="n">
        <v>148</v>
      </c>
      <c r="B149" s="18" t="n">
        <v>46137</v>
      </c>
      <c r="C149" s="16" t="s">
        <v>101</v>
      </c>
      <c r="D149" s="16" t="s">
        <v>102</v>
      </c>
      <c r="E149" s="16" t="n">
        <v>76</v>
      </c>
      <c r="F149" s="16" t="s">
        <v>126</v>
      </c>
      <c r="G149" s="16" t="s">
        <v>41</v>
      </c>
      <c r="H149" s="16" t="n">
        <v>120</v>
      </c>
      <c r="I149" s="19" t="n">
        <f aca="false">IFERROR(IF(D149="Sale",H149*VLOOKUP(G149,Product_Master!$A:$F,6,FALSE()),IF(D149="Purchase",H149*VLOOKUP(G149,Product_Master!$A:$F,5,FALSE()),0)),0)</f>
        <v>13320</v>
      </c>
    </row>
    <row r="150" customFormat="false" ht="14.25" hidden="false" customHeight="true" outlineLevel="0" collapsed="false">
      <c r="A150" s="15" t="n">
        <v>149</v>
      </c>
      <c r="B150" s="18" t="n">
        <v>46137</v>
      </c>
      <c r="C150" s="16" t="s">
        <v>101</v>
      </c>
      <c r="D150" s="16" t="s">
        <v>102</v>
      </c>
      <c r="E150" s="16" t="n">
        <v>77</v>
      </c>
      <c r="F150" s="16" t="s">
        <v>151</v>
      </c>
      <c r="G150" s="16" t="s">
        <v>67</v>
      </c>
      <c r="H150" s="16" t="n">
        <v>25</v>
      </c>
      <c r="I150" s="19" t="n">
        <f aca="false">IFERROR(IF(D150="Sale",H150*VLOOKUP(G150,Product_Master!$A:$F,6,FALSE()),IF(D150="Purchase",H150*VLOOKUP(G150,Product_Master!$A:$F,5,FALSE()),0)),0)</f>
        <v>8250</v>
      </c>
    </row>
    <row r="151" customFormat="false" ht="14.25" hidden="false" customHeight="true" outlineLevel="0" collapsed="false">
      <c r="A151" s="15" t="n">
        <v>150</v>
      </c>
      <c r="B151" s="18" t="n">
        <v>46137</v>
      </c>
      <c r="C151" s="16" t="s">
        <v>101</v>
      </c>
      <c r="D151" s="16" t="s">
        <v>102</v>
      </c>
      <c r="E151" s="16" t="n">
        <v>78</v>
      </c>
      <c r="F151" s="16" t="s">
        <v>104</v>
      </c>
      <c r="G151" s="16" t="s">
        <v>73</v>
      </c>
      <c r="H151" s="16" t="n">
        <v>100</v>
      </c>
      <c r="I151" s="19" t="n">
        <f aca="false">IFERROR(IF(D151="Sale",H151*VLOOKUP(G151,Product_Master!$A:$F,6,FALSE()),IF(D151="Purchase",H151*VLOOKUP(G151,Product_Master!$A:$F,5,FALSE()),0)),0)</f>
        <v>14000</v>
      </c>
    </row>
    <row r="152" customFormat="false" ht="14.25" hidden="false" customHeight="true" outlineLevel="0" collapsed="false">
      <c r="A152" s="15" t="n">
        <v>151</v>
      </c>
      <c r="B152" s="18" t="n">
        <v>46139</v>
      </c>
      <c r="C152" s="16" t="s">
        <v>101</v>
      </c>
      <c r="D152" s="16" t="s">
        <v>102</v>
      </c>
      <c r="E152" s="16" t="n">
        <v>79</v>
      </c>
      <c r="F152" s="16" t="s">
        <v>131</v>
      </c>
      <c r="G152" s="16" t="s">
        <v>42</v>
      </c>
      <c r="H152" s="16" t="n">
        <v>120</v>
      </c>
      <c r="I152" s="19" t="n">
        <f aca="false">IFERROR(IF(D152="Sale",H152*VLOOKUP(G152,Product_Master!$A:$F,6,FALSE()),IF(D152="Purchase",H152*VLOOKUP(G152,Product_Master!$A:$F,5,FALSE()),0)),0)</f>
        <v>13440</v>
      </c>
    </row>
    <row r="153" customFormat="false" ht="14.25" hidden="false" customHeight="true" outlineLevel="0" collapsed="false">
      <c r="A153" s="15" t="n">
        <v>152</v>
      </c>
      <c r="B153" s="18" t="n">
        <v>46139</v>
      </c>
      <c r="C153" s="16" t="s">
        <v>101</v>
      </c>
      <c r="D153" s="16" t="s">
        <v>102</v>
      </c>
      <c r="E153" s="16" t="n">
        <v>80</v>
      </c>
      <c r="F153" s="16" t="s">
        <v>115</v>
      </c>
      <c r="G153" s="16" t="s">
        <v>53</v>
      </c>
      <c r="H153" s="16" t="n">
        <v>250</v>
      </c>
      <c r="I153" s="19" t="n">
        <f aca="false">IFERROR(IF(D153="Sale",H153*VLOOKUP(G153,Product_Master!$A:$F,6,FALSE()),IF(D153="Purchase",H153*VLOOKUP(G153,Product_Master!$A:$F,5,FALSE()),0)),0)</f>
        <v>21250</v>
      </c>
    </row>
    <row r="154" customFormat="false" ht="14.25" hidden="false" customHeight="true" outlineLevel="0" collapsed="false">
      <c r="A154" s="15" t="n">
        <v>153</v>
      </c>
      <c r="B154" s="18" t="n">
        <v>46139</v>
      </c>
      <c r="C154" s="16" t="s">
        <v>101</v>
      </c>
      <c r="D154" s="16" t="s">
        <v>102</v>
      </c>
      <c r="E154" s="16" t="n">
        <v>81</v>
      </c>
      <c r="F154" s="16" t="s">
        <v>109</v>
      </c>
      <c r="G154" s="16" t="s">
        <v>40</v>
      </c>
      <c r="H154" s="16" t="n">
        <v>120</v>
      </c>
      <c r="I154" s="19" t="n">
        <f aca="false">IFERROR(IF(D154="Sale",H154*VLOOKUP(G154,Product_Master!$A:$F,6,FALSE()),IF(D154="Purchase",H154*VLOOKUP(G154,Product_Master!$A:$F,5,FALSE()),0)),0)</f>
        <v>12240</v>
      </c>
    </row>
    <row r="155" customFormat="false" ht="14.25" hidden="false" customHeight="true" outlineLevel="0" collapsed="false">
      <c r="A155" s="15" t="n">
        <v>154</v>
      </c>
      <c r="B155" s="18" t="n">
        <v>46139</v>
      </c>
      <c r="C155" s="16" t="s">
        <v>101</v>
      </c>
      <c r="D155" s="16" t="s">
        <v>102</v>
      </c>
      <c r="E155" s="16" t="n">
        <v>81</v>
      </c>
      <c r="F155" s="16" t="s">
        <v>109</v>
      </c>
      <c r="G155" s="16" t="s">
        <v>41</v>
      </c>
      <c r="H155" s="16" t="n">
        <v>120</v>
      </c>
      <c r="I155" s="19" t="n">
        <f aca="false">IFERROR(IF(D155="Sale",H155*VLOOKUP(G155,Product_Master!$A:$F,6,FALSE()),IF(D155="Purchase",H155*VLOOKUP(G155,Product_Master!$A:$F,5,FALSE()),0)),0)</f>
        <v>13320</v>
      </c>
    </row>
    <row r="156" customFormat="false" ht="14.25" hidden="false" customHeight="true" outlineLevel="0" collapsed="false">
      <c r="A156" s="15" t="n">
        <v>155</v>
      </c>
      <c r="B156" s="18" t="n">
        <v>46139</v>
      </c>
      <c r="C156" s="16" t="s">
        <v>101</v>
      </c>
      <c r="D156" s="16" t="s">
        <v>102</v>
      </c>
      <c r="E156" s="16" t="n">
        <v>81</v>
      </c>
      <c r="F156" s="16" t="s">
        <v>109</v>
      </c>
      <c r="G156" s="16" t="s">
        <v>42</v>
      </c>
      <c r="H156" s="16" t="n">
        <v>120</v>
      </c>
      <c r="I156" s="19" t="n">
        <f aca="false">IFERROR(IF(D156="Sale",H156*VLOOKUP(G156,Product_Master!$A:$F,6,FALSE()),IF(D156="Purchase",H156*VLOOKUP(G156,Product_Master!$A:$F,5,FALSE()),0)),0)</f>
        <v>13440</v>
      </c>
    </row>
    <row r="157" customFormat="false" ht="14.25" hidden="false" customHeight="true" outlineLevel="0" collapsed="false">
      <c r="A157" s="15" t="n">
        <v>156</v>
      </c>
      <c r="B157" s="18" t="n">
        <v>46139</v>
      </c>
      <c r="C157" s="16" t="s">
        <v>101</v>
      </c>
      <c r="D157" s="16" t="s">
        <v>102</v>
      </c>
      <c r="E157" s="16" t="n">
        <v>81</v>
      </c>
      <c r="F157" s="16" t="s">
        <v>109</v>
      </c>
      <c r="G157" s="16" t="s">
        <v>43</v>
      </c>
      <c r="H157" s="16" t="n">
        <v>120</v>
      </c>
      <c r="I157" s="19" t="n">
        <f aca="false">IFERROR(IF(D157="Sale",H157*VLOOKUP(G157,Product_Master!$A:$F,6,FALSE()),IF(D157="Purchase",H157*VLOOKUP(G157,Product_Master!$A:$F,5,FALSE()),0)),0)</f>
        <v>19200</v>
      </c>
    </row>
    <row r="158" customFormat="false" ht="14.25" hidden="false" customHeight="true" outlineLevel="0" collapsed="false">
      <c r="A158" s="15" t="n">
        <v>157</v>
      </c>
      <c r="B158" s="18" t="n">
        <v>46139</v>
      </c>
      <c r="C158" s="16" t="s">
        <v>101</v>
      </c>
      <c r="D158" s="16" t="s">
        <v>102</v>
      </c>
      <c r="E158" s="16" t="n">
        <v>81</v>
      </c>
      <c r="F158" s="16" t="s">
        <v>109</v>
      </c>
      <c r="G158" s="16" t="s">
        <v>45</v>
      </c>
      <c r="H158" s="16" t="n">
        <v>150</v>
      </c>
      <c r="I158" s="19" t="n">
        <f aca="false">IFERROR(IF(D158="Sale",H158*VLOOKUP(G158,Product_Master!$A:$F,6,FALSE()),IF(D158="Purchase",H158*VLOOKUP(G158,Product_Master!$A:$F,5,FALSE()),0)),0)</f>
        <v>27750</v>
      </c>
    </row>
    <row r="159" customFormat="false" ht="14.25" hidden="false" customHeight="true" outlineLevel="0" collapsed="false">
      <c r="A159" s="15" t="n">
        <v>158</v>
      </c>
      <c r="B159" s="18" t="n">
        <v>46139</v>
      </c>
      <c r="C159" s="16" t="s">
        <v>101</v>
      </c>
      <c r="D159" s="16" t="s">
        <v>102</v>
      </c>
      <c r="E159" s="16" t="n">
        <v>82</v>
      </c>
      <c r="F159" s="16" t="s">
        <v>145</v>
      </c>
      <c r="G159" s="16" t="s">
        <v>76</v>
      </c>
      <c r="H159" s="16" t="n">
        <v>25</v>
      </c>
      <c r="I159" s="19" t="n">
        <f aca="false">IFERROR(IF(D159="Sale",H159*VLOOKUP(G159,Product_Master!$A:$F,6,FALSE()),IF(D159="Purchase",H159*VLOOKUP(G159,Product_Master!$A:$F,5,FALSE()),0)),0)</f>
        <v>4900</v>
      </c>
    </row>
    <row r="160" customFormat="false" ht="14.25" hidden="false" customHeight="true" outlineLevel="0" collapsed="false">
      <c r="A160" s="15" t="n">
        <v>159</v>
      </c>
      <c r="B160" s="18" t="n">
        <v>46139</v>
      </c>
      <c r="C160" s="16" t="s">
        <v>101</v>
      </c>
      <c r="D160" s="16" t="s">
        <v>102</v>
      </c>
      <c r="E160" s="16" t="n">
        <v>83</v>
      </c>
      <c r="F160" s="16" t="s">
        <v>150</v>
      </c>
      <c r="G160" s="16" t="s">
        <v>67</v>
      </c>
      <c r="H160" s="16" t="n">
        <v>100</v>
      </c>
      <c r="I160" s="19" t="n">
        <f aca="false">IFERROR(IF(D160="Sale",H160*VLOOKUP(G160,Product_Master!$A:$F,6,FALSE()),IF(D160="Purchase",H160*VLOOKUP(G160,Product_Master!$A:$F,5,FALSE()),0)),0)</f>
        <v>33000</v>
      </c>
    </row>
    <row r="161" customFormat="false" ht="14.25" hidden="false" customHeight="true" outlineLevel="0" collapsed="false">
      <c r="A161" s="15" t="n">
        <v>160</v>
      </c>
      <c r="B161" s="18" t="n">
        <v>46140</v>
      </c>
      <c r="C161" s="16" t="s">
        <v>101</v>
      </c>
      <c r="D161" s="16" t="s">
        <v>102</v>
      </c>
      <c r="E161" s="16" t="n">
        <v>83</v>
      </c>
      <c r="F161" s="16" t="s">
        <v>135</v>
      </c>
      <c r="G161" s="16" t="s">
        <v>49</v>
      </c>
      <c r="H161" s="16" t="n">
        <v>10</v>
      </c>
      <c r="I161" s="19" t="n">
        <f aca="false">IFERROR(IF(D161="Sale",H161*VLOOKUP(G161,Product_Master!$A:$F,6,FALSE()),IF(D161="Purchase",H161*VLOOKUP(G161,Product_Master!$A:$F,5,FALSE()),0)),0)</f>
        <v>1220</v>
      </c>
    </row>
    <row r="162" customFormat="false" ht="14.25" hidden="false" customHeight="true" outlineLevel="0" collapsed="false">
      <c r="A162" s="15" t="n">
        <v>161</v>
      </c>
      <c r="B162" s="18" t="n">
        <v>46140</v>
      </c>
      <c r="C162" s="16" t="s">
        <v>101</v>
      </c>
      <c r="D162" s="16" t="s">
        <v>102</v>
      </c>
      <c r="E162" s="16" t="n">
        <v>84</v>
      </c>
      <c r="F162" s="16" t="s">
        <v>157</v>
      </c>
      <c r="G162" s="16" t="s">
        <v>91</v>
      </c>
      <c r="H162" s="16" t="n">
        <v>1100</v>
      </c>
      <c r="I162" s="19" t="n">
        <f aca="false">IFERROR(IF(D162="Sale",H162*VLOOKUP(G162,Product_Master!$A:$F,6,FALSE()),IF(D162="Purchase",H162*VLOOKUP(G162,Product_Master!$A:$F,5,FALSE()),0)),0)</f>
        <v>297000</v>
      </c>
    </row>
    <row r="163" customFormat="false" ht="14.25" hidden="false" customHeight="true" outlineLevel="0" collapsed="false">
      <c r="A163" s="15" t="n">
        <v>162</v>
      </c>
      <c r="B163" s="18" t="n">
        <v>46140</v>
      </c>
      <c r="C163" s="16" t="s">
        <v>101</v>
      </c>
      <c r="D163" s="16" t="s">
        <v>102</v>
      </c>
      <c r="E163" s="16" t="n">
        <v>85</v>
      </c>
      <c r="F163" s="16" t="s">
        <v>147</v>
      </c>
      <c r="G163" s="16" t="s">
        <v>43</v>
      </c>
      <c r="H163" s="16" t="n">
        <v>20</v>
      </c>
      <c r="I163" s="19" t="n">
        <f aca="false">IFERROR(IF(D163="Sale",H163*VLOOKUP(G163,Product_Master!$A:$F,6,FALSE()),IF(D163="Purchase",H163*VLOOKUP(G163,Product_Master!$A:$F,5,FALSE()),0)),0)</f>
        <v>3200</v>
      </c>
    </row>
    <row r="164" customFormat="false" ht="14.25" hidden="false" customHeight="true" outlineLevel="0" collapsed="false">
      <c r="A164" s="15" t="n">
        <v>163</v>
      </c>
      <c r="B164" s="18" t="n">
        <v>46142</v>
      </c>
      <c r="C164" s="16" t="s">
        <v>101</v>
      </c>
      <c r="D164" s="16" t="s">
        <v>102</v>
      </c>
      <c r="E164" s="16" t="n">
        <v>86</v>
      </c>
      <c r="F164" s="16" t="s">
        <v>145</v>
      </c>
      <c r="G164" s="16" t="s">
        <v>51</v>
      </c>
      <c r="H164" s="16" t="n">
        <v>15</v>
      </c>
      <c r="I164" s="19" t="n">
        <f aca="false">IFERROR(IF(D164="Sale",H164*VLOOKUP(G164,Product_Master!$A:$F,6,FALSE()),IF(D164="Purchase",H164*VLOOKUP(G164,Product_Master!$A:$F,5,FALSE()),0)),0)</f>
        <v>4230</v>
      </c>
    </row>
    <row r="165" customFormat="false" ht="14.25" hidden="false" customHeight="true" outlineLevel="0" collapsed="false">
      <c r="A165" s="15" t="n">
        <v>164</v>
      </c>
      <c r="B165" s="18" t="n">
        <v>46142</v>
      </c>
      <c r="C165" s="16" t="s">
        <v>101</v>
      </c>
      <c r="D165" s="16" t="s">
        <v>102</v>
      </c>
      <c r="E165" s="16" t="n">
        <v>87</v>
      </c>
      <c r="F165" s="16" t="s">
        <v>147</v>
      </c>
      <c r="G165" s="16" t="s">
        <v>51</v>
      </c>
      <c r="H165" s="16" t="n">
        <v>5</v>
      </c>
      <c r="I165" s="19" t="n">
        <f aca="false">IFERROR(IF(D165="Sale",H165*VLOOKUP(G165,Product_Master!$A:$F,6,FALSE()),IF(D165="Purchase",H165*VLOOKUP(G165,Product_Master!$A:$F,5,FALSE()),0)),0)</f>
        <v>1410</v>
      </c>
    </row>
    <row r="166" customFormat="false" ht="14.25" hidden="false" customHeight="true" outlineLevel="0" collapsed="false">
      <c r="A166" s="15" t="n">
        <v>165</v>
      </c>
      <c r="B166" s="18" t="n">
        <v>46142</v>
      </c>
      <c r="C166" s="16" t="s">
        <v>101</v>
      </c>
      <c r="D166" s="16" t="s">
        <v>102</v>
      </c>
      <c r="E166" s="16" t="n">
        <v>88</v>
      </c>
      <c r="F166" s="16" t="s">
        <v>152</v>
      </c>
      <c r="G166" s="16" t="s">
        <v>38</v>
      </c>
      <c r="H166" s="16" t="n">
        <v>220</v>
      </c>
      <c r="I166" s="19" t="n">
        <f aca="false">IFERROR(IF(D166="Sale",H166*VLOOKUP(G166,Product_Master!$A:$F,6,FALSE()),IF(D166="Purchase",H166*VLOOKUP(G166,Product_Master!$A:$F,5,FALSE()),0)),0)</f>
        <v>20460</v>
      </c>
    </row>
    <row r="167" customFormat="false" ht="14.25" hidden="false" customHeight="true" outlineLevel="0" collapsed="false">
      <c r="A167" s="15" t="n">
        <v>166</v>
      </c>
      <c r="B167" s="18" t="n">
        <v>46142</v>
      </c>
      <c r="C167" s="16" t="s">
        <v>101</v>
      </c>
      <c r="D167" s="16" t="s">
        <v>102</v>
      </c>
      <c r="E167" s="16" t="n">
        <v>89</v>
      </c>
      <c r="F167" s="16" t="s">
        <v>113</v>
      </c>
      <c r="G167" s="16" t="s">
        <v>41</v>
      </c>
      <c r="H167" s="16" t="n">
        <v>120</v>
      </c>
      <c r="I167" s="19" t="n">
        <f aca="false">IFERROR(IF(D167="Sale",H167*VLOOKUP(G167,Product_Master!$A:$F,6,FALSE()),IF(D167="Purchase",H167*VLOOKUP(G167,Product_Master!$A:$F,5,FALSE()),0)),0)</f>
        <v>13320</v>
      </c>
    </row>
    <row r="168" customFormat="false" ht="14.25" hidden="false" customHeight="true" outlineLevel="0" collapsed="false">
      <c r="A168" s="15" t="n">
        <v>167</v>
      </c>
      <c r="B168" s="18" t="n">
        <v>46142</v>
      </c>
      <c r="C168" s="16" t="s">
        <v>101</v>
      </c>
      <c r="D168" s="16" t="s">
        <v>102</v>
      </c>
      <c r="E168" s="16" t="n">
        <v>89</v>
      </c>
      <c r="F168" s="16" t="s">
        <v>113</v>
      </c>
      <c r="G168" s="16" t="s">
        <v>44</v>
      </c>
      <c r="H168" s="16" t="n">
        <v>240</v>
      </c>
      <c r="I168" s="19" t="n">
        <f aca="false">IFERROR(IF(D168="Sale",H168*VLOOKUP(G168,Product_Master!$A:$F,6,FALSE()),IF(D168="Purchase",H168*VLOOKUP(G168,Product_Master!$A:$F,5,FALSE()),0)),0)</f>
        <v>32400</v>
      </c>
    </row>
    <row r="169" customFormat="false" ht="14.25" hidden="false" customHeight="true" outlineLevel="0" collapsed="false">
      <c r="A169" s="15" t="n">
        <v>168</v>
      </c>
      <c r="B169" s="18" t="n">
        <v>46142</v>
      </c>
      <c r="C169" s="16" t="s">
        <v>101</v>
      </c>
      <c r="D169" s="16" t="s">
        <v>102</v>
      </c>
      <c r="E169" s="16" t="n">
        <v>89</v>
      </c>
      <c r="F169" s="16" t="s">
        <v>113</v>
      </c>
      <c r="G169" s="16" t="s">
        <v>51</v>
      </c>
      <c r="H169" s="16" t="n">
        <v>5</v>
      </c>
      <c r="I169" s="19" t="n">
        <f aca="false">IFERROR(IF(D169="Sale",H169*VLOOKUP(G169,Product_Master!$A:$F,6,FALSE()),IF(D169="Purchase",H169*VLOOKUP(G169,Product_Master!$A:$F,5,FALSE()),0)),0)</f>
        <v>1410</v>
      </c>
    </row>
    <row r="170" customFormat="false" ht="14.25" hidden="false" customHeight="true" outlineLevel="0" collapsed="false">
      <c r="A170" s="15" t="n">
        <v>169</v>
      </c>
      <c r="B170" s="18" t="n">
        <v>46142</v>
      </c>
      <c r="C170" s="16" t="s">
        <v>101</v>
      </c>
      <c r="D170" s="16" t="s">
        <v>102</v>
      </c>
      <c r="E170" s="16" t="n">
        <v>90</v>
      </c>
      <c r="F170" s="16" t="s">
        <v>107</v>
      </c>
      <c r="G170" s="16" t="s">
        <v>44</v>
      </c>
      <c r="H170" s="16" t="n">
        <v>120</v>
      </c>
      <c r="I170" s="19" t="n">
        <f aca="false">IFERROR(IF(D170="Sale",H170*VLOOKUP(G170,Product_Master!$A:$F,6,FALSE()),IF(D170="Purchase",H170*VLOOKUP(G170,Product_Master!$A:$F,5,FALSE()),0)),0)</f>
        <v>16200</v>
      </c>
    </row>
    <row r="171" customFormat="false" ht="14.25" hidden="false" customHeight="true" outlineLevel="0" collapsed="false">
      <c r="A171" s="15" t="n">
        <v>170</v>
      </c>
      <c r="B171" s="18" t="n">
        <v>46142</v>
      </c>
      <c r="C171" s="16" t="s">
        <v>101</v>
      </c>
      <c r="D171" s="16" t="s">
        <v>102</v>
      </c>
      <c r="E171" s="16" t="n">
        <v>90</v>
      </c>
      <c r="F171" s="16" t="s">
        <v>107</v>
      </c>
      <c r="G171" s="16" t="s">
        <v>46</v>
      </c>
      <c r="H171" s="16" t="n">
        <v>120</v>
      </c>
      <c r="I171" s="19" t="n">
        <f aca="false">IFERROR(IF(D171="Sale",H171*VLOOKUP(G171,Product_Master!$A:$F,6,FALSE()),IF(D171="Purchase",H171*VLOOKUP(G171,Product_Master!$A:$F,5,FALSE()),0)),0)</f>
        <v>21000</v>
      </c>
    </row>
    <row r="172" customFormat="false" ht="14.25" hidden="false" customHeight="true" outlineLevel="0" collapsed="false">
      <c r="A172" s="15" t="n">
        <v>171</v>
      </c>
      <c r="B172" s="18" t="n">
        <v>46144</v>
      </c>
      <c r="C172" s="16" t="s">
        <v>101</v>
      </c>
      <c r="D172" s="16" t="s">
        <v>102</v>
      </c>
      <c r="E172" s="16" t="n">
        <v>91</v>
      </c>
      <c r="F172" s="16" t="s">
        <v>126</v>
      </c>
      <c r="G172" s="16" t="s">
        <v>53</v>
      </c>
      <c r="H172" s="16" t="n">
        <v>50</v>
      </c>
      <c r="I172" s="19" t="n">
        <f aca="false">IFERROR(IF(D172="Sale",H172*VLOOKUP(G172,Product_Master!$A:$F,6,FALSE()),IF(D172="Purchase",H172*VLOOKUP(G172,Product_Master!$A:$F,5,FALSE()),0)),0)</f>
        <v>4250</v>
      </c>
    </row>
    <row r="173" customFormat="false" ht="14.25" hidden="false" customHeight="true" outlineLevel="0" collapsed="false">
      <c r="A173" s="15" t="n">
        <v>172</v>
      </c>
      <c r="B173" s="18" t="n">
        <v>46144</v>
      </c>
      <c r="C173" s="16" t="s">
        <v>101</v>
      </c>
      <c r="D173" s="16" t="s">
        <v>102</v>
      </c>
      <c r="E173" s="16" t="n">
        <v>92</v>
      </c>
      <c r="F173" s="16" t="s">
        <v>145</v>
      </c>
      <c r="G173" s="16" t="s">
        <v>51</v>
      </c>
      <c r="H173" s="16" t="n">
        <v>30</v>
      </c>
      <c r="I173" s="19" t="n">
        <f aca="false">IFERROR(IF(D173="Sale",H173*VLOOKUP(G173,Product_Master!$A:$F,6,FALSE()),IF(D173="Purchase",H173*VLOOKUP(G173,Product_Master!$A:$F,5,FALSE()),0)),0)</f>
        <v>8460</v>
      </c>
    </row>
    <row r="174" customFormat="false" ht="14.25" hidden="false" customHeight="true" outlineLevel="0" collapsed="false">
      <c r="A174" s="15" t="n">
        <v>173</v>
      </c>
      <c r="B174" s="18" t="n">
        <v>46144</v>
      </c>
      <c r="C174" s="16" t="s">
        <v>101</v>
      </c>
      <c r="D174" s="16" t="s">
        <v>102</v>
      </c>
      <c r="E174" s="16" t="n">
        <v>92</v>
      </c>
      <c r="F174" s="16" t="s">
        <v>145</v>
      </c>
      <c r="G174" s="16" t="s">
        <v>91</v>
      </c>
      <c r="H174" s="16" t="n">
        <v>220</v>
      </c>
      <c r="I174" s="19" t="n">
        <f aca="false">IFERROR(IF(D174="Sale",H174*VLOOKUP(G174,Product_Master!$A:$F,6,FALSE()),IF(D174="Purchase",H174*VLOOKUP(G174,Product_Master!$A:$F,5,FALSE()),0)),0)</f>
        <v>59400</v>
      </c>
    </row>
    <row r="175" customFormat="false" ht="14.25" hidden="false" customHeight="true" outlineLevel="0" collapsed="false">
      <c r="A175" s="15" t="n">
        <v>174</v>
      </c>
      <c r="B175" s="18" t="n">
        <v>46144</v>
      </c>
      <c r="C175" s="16" t="s">
        <v>101</v>
      </c>
      <c r="D175" s="16" t="s">
        <v>102</v>
      </c>
      <c r="E175" s="16" t="n">
        <v>93</v>
      </c>
      <c r="F175" s="16" t="s">
        <v>131</v>
      </c>
      <c r="G175" s="16" t="s">
        <v>51</v>
      </c>
      <c r="H175" s="16" t="n">
        <v>6</v>
      </c>
      <c r="I175" s="19" t="n">
        <f aca="false">IFERROR(IF(D175="Sale",H175*VLOOKUP(G175,Product_Master!$A:$F,6,FALSE()),IF(D175="Purchase",H175*VLOOKUP(G175,Product_Master!$A:$F,5,FALSE()),0)),0)</f>
        <v>1692</v>
      </c>
    </row>
    <row r="176" customFormat="false" ht="14.25" hidden="false" customHeight="true" outlineLevel="0" collapsed="false">
      <c r="A176" s="15" t="n">
        <v>175</v>
      </c>
      <c r="B176" s="18" t="n">
        <v>46144</v>
      </c>
      <c r="C176" s="16" t="s">
        <v>101</v>
      </c>
      <c r="D176" s="16" t="s">
        <v>102</v>
      </c>
      <c r="E176" s="16" t="n">
        <v>94</v>
      </c>
      <c r="F176" s="16" t="s">
        <v>122</v>
      </c>
      <c r="G176" s="16" t="s">
        <v>60</v>
      </c>
      <c r="H176" s="16" t="n">
        <v>360</v>
      </c>
      <c r="I176" s="19" t="n">
        <f aca="false">IFERROR(IF(D176="Sale",H176*VLOOKUP(G176,Product_Master!$A:$F,6,FALSE()),IF(D176="Purchase",H176*VLOOKUP(G176,Product_Master!$A:$F,5,FALSE()),0)),0)</f>
        <v>71280</v>
      </c>
    </row>
    <row r="177" customFormat="false" ht="14.25" hidden="false" customHeight="true" outlineLevel="0" collapsed="false">
      <c r="A177" s="15" t="n">
        <v>176</v>
      </c>
      <c r="B177" s="18" t="n">
        <v>46144</v>
      </c>
      <c r="C177" s="16" t="s">
        <v>101</v>
      </c>
      <c r="D177" s="16" t="s">
        <v>102</v>
      </c>
      <c r="E177" s="16" t="n">
        <v>95</v>
      </c>
      <c r="F177" s="16" t="s">
        <v>113</v>
      </c>
      <c r="G177" s="16" t="s">
        <v>51</v>
      </c>
      <c r="H177" s="16" t="n">
        <v>5</v>
      </c>
      <c r="I177" s="19" t="n">
        <f aca="false">IFERROR(IF(D177="Sale",H177*VLOOKUP(G177,Product_Master!$A:$F,6,FALSE()),IF(D177="Purchase",H177*VLOOKUP(G177,Product_Master!$A:$F,5,FALSE()),0)),0)</f>
        <v>1410</v>
      </c>
    </row>
    <row r="178" customFormat="false" ht="14.25" hidden="false" customHeight="true" outlineLevel="0" collapsed="false">
      <c r="A178" s="15" t="n">
        <v>177</v>
      </c>
      <c r="B178" s="18" t="n">
        <v>46144</v>
      </c>
      <c r="C178" s="16" t="s">
        <v>101</v>
      </c>
      <c r="D178" s="16" t="s">
        <v>102</v>
      </c>
      <c r="E178" s="16" t="n">
        <v>96</v>
      </c>
      <c r="F178" s="16" t="s">
        <v>109</v>
      </c>
      <c r="G178" s="16" t="s">
        <v>40</v>
      </c>
      <c r="H178" s="16" t="n">
        <v>120</v>
      </c>
      <c r="I178" s="19" t="n">
        <f aca="false">IFERROR(IF(D178="Sale",H178*VLOOKUP(G178,Product_Master!$A:$F,6,FALSE()),IF(D178="Purchase",H178*VLOOKUP(G178,Product_Master!$A:$F,5,FALSE()),0)),0)</f>
        <v>12240</v>
      </c>
    </row>
    <row r="179" customFormat="false" ht="14.25" hidden="false" customHeight="true" outlineLevel="0" collapsed="false">
      <c r="A179" s="15" t="n">
        <v>178</v>
      </c>
      <c r="B179" s="18" t="n">
        <v>46144</v>
      </c>
      <c r="C179" s="16" t="s">
        <v>101</v>
      </c>
      <c r="D179" s="16" t="s">
        <v>102</v>
      </c>
      <c r="E179" s="16" t="n">
        <v>96</v>
      </c>
      <c r="F179" s="16" t="s">
        <v>109</v>
      </c>
      <c r="G179" s="16" t="s">
        <v>41</v>
      </c>
      <c r="H179" s="16" t="n">
        <v>120</v>
      </c>
      <c r="I179" s="19" t="n">
        <f aca="false">IFERROR(IF(D179="Sale",H179*VLOOKUP(G179,Product_Master!$A:$F,6,FALSE()),IF(D179="Purchase",H179*VLOOKUP(G179,Product_Master!$A:$F,5,FALSE()),0)),0)</f>
        <v>13320</v>
      </c>
    </row>
    <row r="180" customFormat="false" ht="14.25" hidden="false" customHeight="true" outlineLevel="0" collapsed="false">
      <c r="A180" s="15" t="n">
        <v>179</v>
      </c>
      <c r="B180" s="18" t="n">
        <v>46144</v>
      </c>
      <c r="C180" s="16" t="s">
        <v>101</v>
      </c>
      <c r="D180" s="16" t="s">
        <v>102</v>
      </c>
      <c r="E180" s="16" t="n">
        <v>96</v>
      </c>
      <c r="F180" s="16" t="s">
        <v>109</v>
      </c>
      <c r="G180" s="16" t="s">
        <v>42</v>
      </c>
      <c r="H180" s="16" t="n">
        <v>120</v>
      </c>
      <c r="I180" s="19" t="n">
        <f aca="false">IFERROR(IF(D180="Sale",H180*VLOOKUP(G180,Product_Master!$A:$F,6,FALSE()),IF(D180="Purchase",H180*VLOOKUP(G180,Product_Master!$A:$F,5,FALSE()),0)),0)</f>
        <v>13440</v>
      </c>
    </row>
    <row r="181" customFormat="false" ht="14.25" hidden="false" customHeight="true" outlineLevel="0" collapsed="false">
      <c r="A181" s="15" t="n">
        <v>180</v>
      </c>
      <c r="B181" s="18" t="n">
        <v>46144</v>
      </c>
      <c r="C181" s="16" t="s">
        <v>101</v>
      </c>
      <c r="D181" s="16" t="s">
        <v>102</v>
      </c>
      <c r="E181" s="16" t="n">
        <v>96</v>
      </c>
      <c r="F181" s="16" t="s">
        <v>109</v>
      </c>
      <c r="G181" s="16" t="s">
        <v>43</v>
      </c>
      <c r="H181" s="16" t="n">
        <v>120</v>
      </c>
      <c r="I181" s="19" t="n">
        <f aca="false">IFERROR(IF(D181="Sale",H181*VLOOKUP(G181,Product_Master!$A:$F,6,FALSE()),IF(D181="Purchase",H181*VLOOKUP(G181,Product_Master!$A:$F,5,FALSE()),0)),0)</f>
        <v>19200</v>
      </c>
    </row>
    <row r="182" customFormat="false" ht="14.25" hidden="false" customHeight="true" outlineLevel="0" collapsed="false">
      <c r="A182" s="15" t="n">
        <v>181</v>
      </c>
      <c r="B182" s="18" t="n">
        <v>46144</v>
      </c>
      <c r="C182" s="16" t="s">
        <v>101</v>
      </c>
      <c r="D182" s="16" t="s">
        <v>102</v>
      </c>
      <c r="E182" s="16" t="n">
        <v>96</v>
      </c>
      <c r="F182" s="16" t="s">
        <v>109</v>
      </c>
      <c r="G182" s="16" t="s">
        <v>44</v>
      </c>
      <c r="H182" s="16" t="n">
        <v>120</v>
      </c>
      <c r="I182" s="19" t="n">
        <f aca="false">IFERROR(IF(D182="Sale",H182*VLOOKUP(G182,Product_Master!$A:$F,6,FALSE()),IF(D182="Purchase",H182*VLOOKUP(G182,Product_Master!$A:$F,5,FALSE()),0)),0)</f>
        <v>16200</v>
      </c>
    </row>
    <row r="183" customFormat="false" ht="14.25" hidden="false" customHeight="true" outlineLevel="0" collapsed="false">
      <c r="A183" s="15" t="n">
        <v>182</v>
      </c>
      <c r="B183" s="18" t="n">
        <v>46144</v>
      </c>
      <c r="C183" s="16" t="s">
        <v>101</v>
      </c>
      <c r="D183" s="16" t="s">
        <v>102</v>
      </c>
      <c r="E183" s="16" t="n">
        <v>96</v>
      </c>
      <c r="F183" s="16" t="s">
        <v>109</v>
      </c>
      <c r="G183" s="16" t="s">
        <v>45</v>
      </c>
      <c r="H183" s="16" t="n">
        <v>150</v>
      </c>
      <c r="I183" s="19" t="n">
        <f aca="false">IFERROR(IF(D183="Sale",H183*VLOOKUP(G183,Product_Master!$A:$F,6,FALSE()),IF(D183="Purchase",H183*VLOOKUP(G183,Product_Master!$A:$F,5,FALSE()),0)),0)</f>
        <v>27750</v>
      </c>
    </row>
    <row r="184" customFormat="false" ht="14.25" hidden="false" customHeight="true" outlineLevel="0" collapsed="false">
      <c r="A184" s="15" t="n">
        <v>183</v>
      </c>
      <c r="B184" s="18" t="n">
        <v>46146</v>
      </c>
      <c r="C184" s="16" t="s">
        <v>101</v>
      </c>
      <c r="D184" s="16" t="s">
        <v>102</v>
      </c>
      <c r="E184" s="16" t="n">
        <v>97</v>
      </c>
      <c r="F184" s="16" t="s">
        <v>108</v>
      </c>
      <c r="G184" s="16" t="s">
        <v>41</v>
      </c>
      <c r="H184" s="16" t="n">
        <v>720</v>
      </c>
      <c r="I184" s="19" t="n">
        <f aca="false">IFERROR(IF(D184="Sale",H184*VLOOKUP(G184,Product_Master!$A:$F,6,FALSE()),IF(D184="Purchase",H184*VLOOKUP(G184,Product_Master!$A:$F,5,FALSE()),0)),0)</f>
        <v>79920</v>
      </c>
    </row>
    <row r="185" customFormat="false" ht="14.25" hidden="false" customHeight="true" outlineLevel="0" collapsed="false">
      <c r="A185" s="15" t="n">
        <v>184</v>
      </c>
      <c r="B185" s="18" t="n">
        <v>46146</v>
      </c>
      <c r="C185" s="16" t="s">
        <v>101</v>
      </c>
      <c r="D185" s="16" t="s">
        <v>102</v>
      </c>
      <c r="E185" s="16" t="n">
        <v>97</v>
      </c>
      <c r="F185" s="16" t="s">
        <v>108</v>
      </c>
      <c r="G185" s="16" t="s">
        <v>42</v>
      </c>
      <c r="H185" s="16" t="n">
        <v>720</v>
      </c>
      <c r="I185" s="19" t="n">
        <f aca="false">IFERROR(IF(D185="Sale",H185*VLOOKUP(G185,Product_Master!$A:$F,6,FALSE()),IF(D185="Purchase",H185*VLOOKUP(G185,Product_Master!$A:$F,5,FALSE()),0)),0)</f>
        <v>80640</v>
      </c>
    </row>
    <row r="186" customFormat="false" ht="14.25" hidden="false" customHeight="true" outlineLevel="0" collapsed="false">
      <c r="A186" s="15" t="n">
        <v>185</v>
      </c>
      <c r="B186" s="18" t="n">
        <v>46147</v>
      </c>
      <c r="C186" s="16" t="s">
        <v>101</v>
      </c>
      <c r="D186" s="16" t="s">
        <v>102</v>
      </c>
      <c r="E186" s="16" t="n">
        <v>98</v>
      </c>
      <c r="F186" s="16" t="s">
        <v>134</v>
      </c>
      <c r="G186" s="16" t="s">
        <v>40</v>
      </c>
      <c r="H186" s="16" t="n">
        <v>120</v>
      </c>
      <c r="I186" s="19" t="n">
        <f aca="false">IFERROR(IF(D186="Sale",H186*VLOOKUP(G186,Product_Master!$A:$F,6,FALSE()),IF(D186="Purchase",H186*VLOOKUP(G186,Product_Master!$A:$F,5,FALSE()),0)),0)</f>
        <v>12240</v>
      </c>
    </row>
    <row r="187" customFormat="false" ht="14.25" hidden="false" customHeight="true" outlineLevel="0" collapsed="false">
      <c r="A187" s="15" t="n">
        <v>186</v>
      </c>
      <c r="B187" s="18" t="n">
        <v>46147</v>
      </c>
      <c r="C187" s="16" t="s">
        <v>101</v>
      </c>
      <c r="D187" s="16" t="s">
        <v>102</v>
      </c>
      <c r="E187" s="16" t="n">
        <v>98</v>
      </c>
      <c r="F187" s="16" t="s">
        <v>134</v>
      </c>
      <c r="G187" s="16" t="s">
        <v>41</v>
      </c>
      <c r="H187" s="16" t="n">
        <v>120</v>
      </c>
      <c r="I187" s="19" t="n">
        <f aca="false">IFERROR(IF(D187="Sale",H187*VLOOKUP(G187,Product_Master!$A:$F,6,FALSE()),IF(D187="Purchase",H187*VLOOKUP(G187,Product_Master!$A:$F,5,FALSE()),0)),0)</f>
        <v>13320</v>
      </c>
    </row>
    <row r="188" customFormat="false" ht="14.25" hidden="false" customHeight="true" outlineLevel="0" collapsed="false">
      <c r="A188" s="15" t="n">
        <v>187</v>
      </c>
      <c r="B188" s="18" t="n">
        <v>46147</v>
      </c>
      <c r="C188" s="16" t="s">
        <v>101</v>
      </c>
      <c r="D188" s="16" t="s">
        <v>102</v>
      </c>
      <c r="E188" s="16" t="n">
        <v>98</v>
      </c>
      <c r="F188" s="16" t="s">
        <v>134</v>
      </c>
      <c r="G188" s="16" t="s">
        <v>80</v>
      </c>
      <c r="H188" s="16" t="n">
        <v>120</v>
      </c>
      <c r="I188" s="19" t="n">
        <f aca="false">IFERROR(IF(D188="Sale",H188*VLOOKUP(G188,Product_Master!$A:$F,6,FALSE()),IF(D188="Purchase",H188*VLOOKUP(G188,Product_Master!$A:$F,5,FALSE()),0)),0)</f>
        <v>26520</v>
      </c>
    </row>
    <row r="189" customFormat="false" ht="14.25" hidden="false" customHeight="true" outlineLevel="0" collapsed="false">
      <c r="A189" s="15" t="n">
        <v>188</v>
      </c>
      <c r="B189" s="18" t="n">
        <v>46147</v>
      </c>
      <c r="C189" s="16" t="s">
        <v>101</v>
      </c>
      <c r="D189" s="16" t="s">
        <v>102</v>
      </c>
      <c r="E189" s="16" t="n">
        <v>99</v>
      </c>
      <c r="F189" s="16" t="s">
        <v>158</v>
      </c>
      <c r="G189" s="16" t="s">
        <v>60</v>
      </c>
      <c r="H189" s="16" t="n">
        <v>120</v>
      </c>
      <c r="I189" s="19" t="n">
        <f aca="false">IFERROR(IF(D189="Sale",H189*VLOOKUP(G189,Product_Master!$A:$F,6,FALSE()),IF(D189="Purchase",H189*VLOOKUP(G189,Product_Master!$A:$F,5,FALSE()),0)),0)</f>
        <v>23760</v>
      </c>
    </row>
    <row r="190" customFormat="false" ht="14.25" hidden="false" customHeight="true" outlineLevel="0" collapsed="false">
      <c r="A190" s="15" t="n">
        <v>189</v>
      </c>
      <c r="B190" s="18" t="n">
        <v>46147</v>
      </c>
      <c r="C190" s="16" t="s">
        <v>101</v>
      </c>
      <c r="D190" s="16" t="s">
        <v>102</v>
      </c>
      <c r="E190" s="16" t="n">
        <v>100</v>
      </c>
      <c r="F190" s="16" t="s">
        <v>159</v>
      </c>
      <c r="G190" s="16" t="s">
        <v>61</v>
      </c>
      <c r="H190" s="16" t="n">
        <v>30</v>
      </c>
      <c r="I190" s="19" t="n">
        <f aca="false">IFERROR(IF(D190="Sale",H190*VLOOKUP(G190,Product_Master!$A:$F,6,FALSE()),IF(D190="Purchase",H190*VLOOKUP(G190,Product_Master!$A:$F,5,FALSE()),0)),0)</f>
        <v>6870</v>
      </c>
    </row>
    <row r="191" customFormat="false" ht="14.25" hidden="false" customHeight="true" outlineLevel="0" collapsed="false">
      <c r="A191" s="15" t="n">
        <v>190</v>
      </c>
      <c r="B191" s="18" t="n">
        <v>46147</v>
      </c>
      <c r="C191" s="16" t="s">
        <v>101</v>
      </c>
      <c r="D191" s="16" t="s">
        <v>102</v>
      </c>
      <c r="E191" s="16" t="n">
        <v>101</v>
      </c>
      <c r="F191" s="16" t="s">
        <v>160</v>
      </c>
      <c r="G191" s="16" t="s">
        <v>49</v>
      </c>
      <c r="H191" s="16" t="n">
        <v>300</v>
      </c>
      <c r="I191" s="19" t="n">
        <f aca="false">IFERROR(IF(D191="Sale",H191*VLOOKUP(G191,Product_Master!$A:$F,6,FALSE()),IF(D191="Purchase",H191*VLOOKUP(G191,Product_Master!$A:$F,5,FALSE()),0)),0)</f>
        <v>36600</v>
      </c>
    </row>
    <row r="192" customFormat="false" ht="14.25" hidden="false" customHeight="true" outlineLevel="0" collapsed="false">
      <c r="A192" s="15" t="n">
        <v>191</v>
      </c>
      <c r="B192" s="18" t="n">
        <v>46147</v>
      </c>
      <c r="C192" s="16" t="s">
        <v>101</v>
      </c>
      <c r="D192" s="16" t="s">
        <v>102</v>
      </c>
      <c r="E192" s="16" t="n">
        <v>102</v>
      </c>
      <c r="F192" s="16" t="s">
        <v>152</v>
      </c>
      <c r="G192" s="16" t="s">
        <v>38</v>
      </c>
      <c r="H192" s="16" t="n">
        <v>440</v>
      </c>
      <c r="I192" s="19" t="n">
        <f aca="false">IFERROR(IF(D192="Sale",H192*VLOOKUP(G192,Product_Master!$A:$F,6,FALSE()),IF(D192="Purchase",H192*VLOOKUP(G192,Product_Master!$A:$F,5,FALSE()),0)),0)</f>
        <v>40920</v>
      </c>
    </row>
    <row r="193" customFormat="false" ht="14.25" hidden="false" customHeight="true" outlineLevel="0" collapsed="false">
      <c r="A193" s="15" t="n">
        <v>192</v>
      </c>
      <c r="B193" s="18" t="n">
        <v>46148</v>
      </c>
      <c r="C193" s="16" t="s">
        <v>101</v>
      </c>
      <c r="D193" s="16" t="s">
        <v>102</v>
      </c>
      <c r="E193" s="16" t="n">
        <v>84</v>
      </c>
      <c r="F193" s="16" t="s">
        <v>161</v>
      </c>
      <c r="G193" s="16" t="s">
        <v>41</v>
      </c>
      <c r="H193" s="16" t="n">
        <v>48</v>
      </c>
      <c r="I193" s="19" t="n">
        <f aca="false">IFERROR(IF(D193="Sale",H193*VLOOKUP(G193,Product_Master!$A:$F,6,FALSE()),IF(D193="Purchase",H193*VLOOKUP(G193,Product_Master!$A:$F,5,FALSE()),0)),0)</f>
        <v>5328</v>
      </c>
    </row>
    <row r="194" customFormat="false" ht="14.25" hidden="false" customHeight="true" outlineLevel="0" collapsed="false">
      <c r="A194" s="15" t="n">
        <v>193</v>
      </c>
      <c r="B194" s="18" t="n">
        <v>46148</v>
      </c>
      <c r="C194" s="16" t="s">
        <v>101</v>
      </c>
      <c r="D194" s="16" t="s">
        <v>102</v>
      </c>
      <c r="E194" s="16" t="n">
        <v>84</v>
      </c>
      <c r="F194" s="16" t="s">
        <v>161</v>
      </c>
      <c r="G194" s="16" t="s">
        <v>42</v>
      </c>
      <c r="H194" s="16" t="n">
        <v>48</v>
      </c>
      <c r="I194" s="19" t="n">
        <f aca="false">IFERROR(IF(D194="Sale",H194*VLOOKUP(G194,Product_Master!$A:$F,6,FALSE()),IF(D194="Purchase",H194*VLOOKUP(G194,Product_Master!$A:$F,5,FALSE()),0)),0)</f>
        <v>5376</v>
      </c>
    </row>
    <row r="195" customFormat="false" ht="14.25" hidden="false" customHeight="true" outlineLevel="0" collapsed="false">
      <c r="A195" s="15" t="n">
        <v>194</v>
      </c>
      <c r="B195" s="18" t="n">
        <v>46148</v>
      </c>
      <c r="C195" s="16" t="s">
        <v>101</v>
      </c>
      <c r="D195" s="16" t="s">
        <v>102</v>
      </c>
      <c r="E195" s="16" t="n">
        <v>85</v>
      </c>
      <c r="F195" s="16" t="s">
        <v>140</v>
      </c>
      <c r="G195" s="16" t="s">
        <v>50</v>
      </c>
      <c r="H195" s="16" t="n">
        <v>25</v>
      </c>
      <c r="I195" s="19" t="n">
        <f aca="false">IFERROR(IF(D195="Sale",H195*VLOOKUP(G195,Product_Master!$A:$F,6,FALSE()),IF(D195="Purchase",H195*VLOOKUP(G195,Product_Master!$A:$F,5,FALSE()),0)),0)</f>
        <v>5625</v>
      </c>
    </row>
    <row r="196" customFormat="false" ht="14.25" hidden="false" customHeight="true" outlineLevel="0" collapsed="false">
      <c r="A196" s="15" t="n">
        <v>195</v>
      </c>
      <c r="B196" s="18" t="n">
        <v>46148</v>
      </c>
      <c r="C196" s="16" t="s">
        <v>101</v>
      </c>
      <c r="D196" s="16" t="s">
        <v>102</v>
      </c>
      <c r="E196" s="16" t="n">
        <v>86</v>
      </c>
      <c r="F196" s="16" t="s">
        <v>162</v>
      </c>
      <c r="G196" s="16" t="s">
        <v>42</v>
      </c>
      <c r="H196" s="16" t="n">
        <v>120</v>
      </c>
      <c r="I196" s="19" t="n">
        <f aca="false">IFERROR(IF(D196="Sale",H196*VLOOKUP(G196,Product_Master!$A:$F,6,FALSE()),IF(D196="Purchase",H196*VLOOKUP(G196,Product_Master!$A:$F,5,FALSE()),0)),0)</f>
        <v>13440</v>
      </c>
    </row>
    <row r="197" customFormat="false" ht="14.25" hidden="false" customHeight="true" outlineLevel="0" collapsed="false">
      <c r="A197" s="15" t="n">
        <v>196</v>
      </c>
      <c r="B197" s="18" t="n">
        <v>46148</v>
      </c>
      <c r="C197" s="16" t="s">
        <v>101</v>
      </c>
      <c r="D197" s="16" t="s">
        <v>102</v>
      </c>
      <c r="E197" s="16" t="n">
        <v>86</v>
      </c>
      <c r="F197" s="16" t="s">
        <v>162</v>
      </c>
      <c r="G197" s="16" t="s">
        <v>51</v>
      </c>
      <c r="H197" s="16" t="n">
        <v>2.5</v>
      </c>
      <c r="I197" s="19" t="n">
        <f aca="false">IFERROR(IF(D197="Sale",H197*VLOOKUP(G197,Product_Master!$A:$F,6,FALSE()),IF(D197="Purchase",H197*VLOOKUP(G197,Product_Master!$A:$F,5,FALSE()),0)),0)</f>
        <v>705</v>
      </c>
    </row>
    <row r="198" customFormat="false" ht="14.25" hidden="false" customHeight="true" outlineLevel="0" collapsed="false">
      <c r="A198" s="15" t="n">
        <v>197</v>
      </c>
      <c r="B198" s="18" t="n">
        <v>46148</v>
      </c>
      <c r="C198" s="16" t="s">
        <v>101</v>
      </c>
      <c r="D198" s="16" t="s">
        <v>102</v>
      </c>
      <c r="E198" s="16" t="n">
        <v>104</v>
      </c>
      <c r="F198" s="16" t="s">
        <v>116</v>
      </c>
      <c r="G198" s="16" t="s">
        <v>40</v>
      </c>
      <c r="H198" s="16" t="n">
        <v>360</v>
      </c>
      <c r="I198" s="19" t="n">
        <f aca="false">IFERROR(IF(D198="Sale",H198*VLOOKUP(G198,Product_Master!$A:$F,6,FALSE()),IF(D198="Purchase",H198*VLOOKUP(G198,Product_Master!$A:$F,5,FALSE()),0)),0)</f>
        <v>36720</v>
      </c>
    </row>
    <row r="199" customFormat="false" ht="14.25" hidden="false" customHeight="true" outlineLevel="0" collapsed="false">
      <c r="A199" s="15" t="n">
        <v>198</v>
      </c>
      <c r="B199" s="18" t="n">
        <v>46148</v>
      </c>
      <c r="C199" s="16" t="s">
        <v>101</v>
      </c>
      <c r="D199" s="16" t="s">
        <v>102</v>
      </c>
      <c r="E199" s="16" t="n">
        <v>104</v>
      </c>
      <c r="F199" s="16" t="s">
        <v>116</v>
      </c>
      <c r="G199" s="16" t="s">
        <v>41</v>
      </c>
      <c r="H199" s="16" t="n">
        <v>360</v>
      </c>
      <c r="I199" s="19" t="n">
        <f aca="false">IFERROR(IF(D199="Sale",H199*VLOOKUP(G199,Product_Master!$A:$F,6,FALSE()),IF(D199="Purchase",H199*VLOOKUP(G199,Product_Master!$A:$F,5,FALSE()),0)),0)</f>
        <v>39960</v>
      </c>
    </row>
    <row r="200" customFormat="false" ht="14.25" hidden="false" customHeight="true" outlineLevel="0" collapsed="false">
      <c r="A200" s="15" t="n">
        <v>199</v>
      </c>
      <c r="B200" s="18" t="n">
        <v>46148</v>
      </c>
      <c r="C200" s="16" t="s">
        <v>101</v>
      </c>
      <c r="D200" s="16" t="s">
        <v>102</v>
      </c>
      <c r="E200" s="16" t="n">
        <v>105</v>
      </c>
      <c r="F200" s="16" t="s">
        <v>119</v>
      </c>
      <c r="G200" s="16" t="s">
        <v>44</v>
      </c>
      <c r="H200" s="16" t="n">
        <v>120</v>
      </c>
      <c r="I200" s="19" t="n">
        <f aca="false">IFERROR(IF(D200="Sale",H200*VLOOKUP(G200,Product_Master!$A:$F,6,FALSE()),IF(D200="Purchase",H200*VLOOKUP(G200,Product_Master!$A:$F,5,FALSE()),0)),0)</f>
        <v>16200</v>
      </c>
    </row>
    <row r="201" customFormat="false" ht="14.25" hidden="false" customHeight="true" outlineLevel="0" collapsed="false">
      <c r="A201" s="15" t="n">
        <v>200</v>
      </c>
      <c r="B201" s="18" t="n">
        <v>46148</v>
      </c>
      <c r="C201" s="16" t="s">
        <v>101</v>
      </c>
      <c r="D201" s="16" t="s">
        <v>102</v>
      </c>
      <c r="E201" s="16" t="n">
        <v>105</v>
      </c>
      <c r="F201" s="16" t="s">
        <v>119</v>
      </c>
      <c r="G201" s="16" t="s">
        <v>46</v>
      </c>
      <c r="H201" s="16" t="n">
        <v>120</v>
      </c>
      <c r="I201" s="19" t="n">
        <f aca="false">IFERROR(IF(D201="Sale",H201*VLOOKUP(G201,Product_Master!$A:$F,6,FALSE()),IF(D201="Purchase",H201*VLOOKUP(G201,Product_Master!$A:$F,5,FALSE()),0)),0)</f>
        <v>21000</v>
      </c>
    </row>
    <row r="202" customFormat="false" ht="14.25" hidden="false" customHeight="true" outlineLevel="0" collapsed="false">
      <c r="A202" s="15" t="n">
        <v>201</v>
      </c>
      <c r="B202" s="18" t="n">
        <v>46149</v>
      </c>
      <c r="C202" s="16" t="s">
        <v>101</v>
      </c>
      <c r="D202" s="16" t="s">
        <v>102</v>
      </c>
      <c r="E202" s="16" t="n">
        <v>87</v>
      </c>
      <c r="F202" s="16" t="s">
        <v>161</v>
      </c>
      <c r="G202" s="16" t="s">
        <v>40</v>
      </c>
      <c r="H202" s="16" t="n">
        <v>48</v>
      </c>
      <c r="I202" s="19" t="n">
        <f aca="false">IFERROR(IF(D202="Sale",H202*VLOOKUP(G202,Product_Master!$A:$F,6,FALSE()),IF(D202="Purchase",H202*VLOOKUP(G202,Product_Master!$A:$F,5,FALSE()),0)),0)</f>
        <v>4896</v>
      </c>
    </row>
    <row r="203" customFormat="false" ht="14.25" hidden="false" customHeight="true" outlineLevel="0" collapsed="false">
      <c r="A203" s="15" t="n">
        <v>202</v>
      </c>
      <c r="B203" s="18" t="n">
        <v>46149</v>
      </c>
      <c r="C203" s="16" t="s">
        <v>101</v>
      </c>
      <c r="D203" s="16" t="s">
        <v>102</v>
      </c>
      <c r="E203" s="16" t="n">
        <v>87</v>
      </c>
      <c r="F203" s="16" t="s">
        <v>161</v>
      </c>
      <c r="G203" s="16" t="s">
        <v>43</v>
      </c>
      <c r="H203" s="16" t="n">
        <v>48</v>
      </c>
      <c r="I203" s="19" t="n">
        <f aca="false">IFERROR(IF(D203="Sale",H203*VLOOKUP(G203,Product_Master!$A:$F,6,FALSE()),IF(D203="Purchase",H203*VLOOKUP(G203,Product_Master!$A:$F,5,FALSE()),0)),0)</f>
        <v>7680</v>
      </c>
    </row>
    <row r="204" customFormat="false" ht="14.25" hidden="false" customHeight="true" outlineLevel="0" collapsed="false">
      <c r="A204" s="15" t="n">
        <v>203</v>
      </c>
      <c r="B204" s="18" t="n">
        <v>46149</v>
      </c>
      <c r="C204" s="16" t="s">
        <v>101</v>
      </c>
      <c r="D204" s="16" t="s">
        <v>102</v>
      </c>
      <c r="E204" s="16" t="n">
        <v>87</v>
      </c>
      <c r="F204" s="16" t="s">
        <v>161</v>
      </c>
      <c r="G204" s="16" t="s">
        <v>92</v>
      </c>
      <c r="H204" s="16" t="n">
        <v>4</v>
      </c>
      <c r="I204" s="19" t="n">
        <f aca="false">IFERROR(IF(D204="Sale",H204*VLOOKUP(G204,Product_Master!$A:$F,6,FALSE()),IF(D204="Purchase",H204*VLOOKUP(G204,Product_Master!$A:$F,5,FALSE()),0)),0)</f>
        <v>980</v>
      </c>
    </row>
    <row r="205" customFormat="false" ht="14.25" hidden="false" customHeight="true" outlineLevel="0" collapsed="false">
      <c r="A205" s="15" t="n">
        <v>204</v>
      </c>
      <c r="B205" s="18" t="n">
        <v>46149</v>
      </c>
      <c r="C205" s="16" t="s">
        <v>101</v>
      </c>
      <c r="D205" s="16" t="s">
        <v>102</v>
      </c>
      <c r="E205" s="16" t="n">
        <v>106</v>
      </c>
      <c r="F205" s="16" t="s">
        <v>163</v>
      </c>
      <c r="G205" s="16" t="s">
        <v>40</v>
      </c>
      <c r="H205" s="16" t="n">
        <v>120</v>
      </c>
      <c r="I205" s="19" t="n">
        <f aca="false">IFERROR(IF(D205="Sale",H205*VLOOKUP(G205,Product_Master!$A:$F,6,FALSE()),IF(D205="Purchase",H205*VLOOKUP(G205,Product_Master!$A:$F,5,FALSE()),0)),0)</f>
        <v>12240</v>
      </c>
    </row>
    <row r="206" customFormat="false" ht="14.25" hidden="false" customHeight="true" outlineLevel="0" collapsed="false">
      <c r="A206" s="15" t="n">
        <v>205</v>
      </c>
      <c r="B206" s="18" t="n">
        <v>46149</v>
      </c>
      <c r="C206" s="16" t="s">
        <v>101</v>
      </c>
      <c r="D206" s="16" t="s">
        <v>102</v>
      </c>
      <c r="E206" s="16" t="n">
        <v>107</v>
      </c>
      <c r="F206" s="16" t="s">
        <v>136</v>
      </c>
      <c r="G206" s="16" t="s">
        <v>49</v>
      </c>
      <c r="H206" s="16" t="n">
        <v>60</v>
      </c>
      <c r="I206" s="19" t="n">
        <f aca="false">IFERROR(IF(D206="Sale",H206*VLOOKUP(G206,Product_Master!$A:$F,6,FALSE()),IF(D206="Purchase",H206*VLOOKUP(G206,Product_Master!$A:$F,5,FALSE()),0)),0)</f>
        <v>7320</v>
      </c>
    </row>
    <row r="207" customFormat="false" ht="14.25" hidden="false" customHeight="true" outlineLevel="0" collapsed="false">
      <c r="A207" s="15" t="n">
        <v>206</v>
      </c>
      <c r="B207" s="18" t="n">
        <v>46150</v>
      </c>
      <c r="C207" s="16" t="s">
        <v>101</v>
      </c>
      <c r="D207" s="16" t="s">
        <v>102</v>
      </c>
      <c r="E207" s="16" t="n">
        <v>108</v>
      </c>
      <c r="F207" s="16" t="s">
        <v>116</v>
      </c>
      <c r="G207" s="16" t="s">
        <v>56</v>
      </c>
      <c r="H207" s="16" t="n">
        <v>120</v>
      </c>
      <c r="I207" s="19" t="n">
        <f aca="false">IFERROR(IF(D207="Sale",H207*VLOOKUP(G207,Product_Master!$A:$F,6,FALSE()),IF(D207="Purchase",H207*VLOOKUP(G207,Product_Master!$A:$F,5,FALSE()),0)),0)</f>
        <v>12360</v>
      </c>
    </row>
    <row r="208" customFormat="false" ht="14.25" hidden="false" customHeight="true" outlineLevel="0" collapsed="false">
      <c r="A208" s="15" t="n">
        <v>207</v>
      </c>
      <c r="B208" s="18" t="n">
        <v>46150</v>
      </c>
      <c r="C208" s="16" t="s">
        <v>101</v>
      </c>
      <c r="D208" s="16" t="s">
        <v>102</v>
      </c>
      <c r="E208" s="16" t="n">
        <v>88</v>
      </c>
      <c r="F208" s="16" t="s">
        <v>164</v>
      </c>
      <c r="G208" s="16" t="s">
        <v>51</v>
      </c>
      <c r="H208" s="16" t="n">
        <v>5</v>
      </c>
      <c r="I208" s="19" t="n">
        <f aca="false">IFERROR(IF(D208="Sale",H208*VLOOKUP(G208,Product_Master!$A:$F,6,FALSE()),IF(D208="Purchase",H208*VLOOKUP(G208,Product_Master!$A:$F,5,FALSE()),0)),0)</f>
        <v>1410</v>
      </c>
    </row>
    <row r="209" customFormat="false" ht="14.25" hidden="false" customHeight="true" outlineLevel="0" collapsed="false">
      <c r="A209" s="15" t="n">
        <v>208</v>
      </c>
      <c r="B209" s="18" t="n">
        <v>46150</v>
      </c>
      <c r="C209" s="16" t="s">
        <v>101</v>
      </c>
      <c r="D209" s="16" t="s">
        <v>102</v>
      </c>
      <c r="E209" s="16" t="n">
        <v>89</v>
      </c>
      <c r="F209" s="16" t="s">
        <v>140</v>
      </c>
      <c r="G209" s="16" t="s">
        <v>50</v>
      </c>
      <c r="H209" s="16" t="n">
        <v>50</v>
      </c>
      <c r="I209" s="19" t="n">
        <f aca="false">IFERROR(IF(D209="Sale",H209*VLOOKUP(G209,Product_Master!$A:$F,6,FALSE()),IF(D209="Purchase",H209*VLOOKUP(G209,Product_Master!$A:$F,5,FALSE()),0)),0)</f>
        <v>11250</v>
      </c>
    </row>
    <row r="210" customFormat="false" ht="14.25" hidden="false" customHeight="true" outlineLevel="0" collapsed="false">
      <c r="A210" s="15" t="n">
        <v>209</v>
      </c>
      <c r="B210" s="18" t="n">
        <v>46150</v>
      </c>
      <c r="C210" s="16" t="s">
        <v>101</v>
      </c>
      <c r="D210" s="16" t="s">
        <v>102</v>
      </c>
      <c r="E210" s="16" t="n">
        <v>90</v>
      </c>
      <c r="F210" s="16" t="s">
        <v>165</v>
      </c>
      <c r="G210" s="16" t="s">
        <v>51</v>
      </c>
      <c r="H210" s="16" t="n">
        <v>2.5</v>
      </c>
      <c r="I210" s="19" t="n">
        <f aca="false">IFERROR(IF(D210="Sale",H210*VLOOKUP(G210,Product_Master!$A:$F,6,FALSE()),IF(D210="Purchase",H210*VLOOKUP(G210,Product_Master!$A:$F,5,FALSE()),0)),0)</f>
        <v>705</v>
      </c>
    </row>
    <row r="211" customFormat="false" ht="14.25" hidden="false" customHeight="true" outlineLevel="0" collapsed="false">
      <c r="A211" s="15" t="n">
        <v>210</v>
      </c>
      <c r="B211" s="18" t="n">
        <v>46151</v>
      </c>
      <c r="C211" s="16" t="s">
        <v>101</v>
      </c>
      <c r="D211" s="16" t="s">
        <v>102</v>
      </c>
      <c r="E211" s="16" t="n">
        <v>109</v>
      </c>
      <c r="F211" s="16" t="s">
        <v>152</v>
      </c>
      <c r="G211" s="16" t="s">
        <v>38</v>
      </c>
      <c r="H211" s="16" t="n">
        <v>220</v>
      </c>
      <c r="I211" s="19" t="n">
        <f aca="false">IFERROR(IF(D211="Sale",H211*VLOOKUP(G211,Product_Master!$A:$F,6,FALSE()),IF(D211="Purchase",H211*VLOOKUP(G211,Product_Master!$A:$F,5,FALSE()),0)),0)</f>
        <v>20460</v>
      </c>
    </row>
    <row r="212" customFormat="false" ht="14.25" hidden="false" customHeight="true" outlineLevel="0" collapsed="false">
      <c r="A212" s="15" t="n">
        <v>211</v>
      </c>
      <c r="B212" s="18" t="n">
        <v>46151</v>
      </c>
      <c r="C212" s="16" t="s">
        <v>101</v>
      </c>
      <c r="D212" s="16" t="s">
        <v>102</v>
      </c>
      <c r="E212" s="16" t="n">
        <v>109</v>
      </c>
      <c r="F212" s="16" t="s">
        <v>152</v>
      </c>
      <c r="G212" s="16" t="s">
        <v>53</v>
      </c>
      <c r="H212" s="16" t="n">
        <v>100</v>
      </c>
      <c r="I212" s="19" t="n">
        <f aca="false">IFERROR(IF(D212="Sale",H212*VLOOKUP(G212,Product_Master!$A:$F,6,FALSE()),IF(D212="Purchase",H212*VLOOKUP(G212,Product_Master!$A:$F,5,FALSE()),0)),0)</f>
        <v>8500</v>
      </c>
    </row>
    <row r="213" customFormat="false" ht="14.25" hidden="false" customHeight="true" outlineLevel="0" collapsed="false">
      <c r="A213" s="15" t="n">
        <v>212</v>
      </c>
      <c r="B213" s="18" t="n">
        <v>46151</v>
      </c>
      <c r="C213" s="16" t="s">
        <v>101</v>
      </c>
      <c r="D213" s="16" t="s">
        <v>102</v>
      </c>
      <c r="E213" s="16" t="n">
        <v>110</v>
      </c>
      <c r="F213" s="16" t="s">
        <v>166</v>
      </c>
      <c r="G213" s="16" t="s">
        <v>60</v>
      </c>
      <c r="H213" s="16" t="n">
        <v>120</v>
      </c>
      <c r="I213" s="19" t="n">
        <f aca="false">IFERROR(IF(D213="Sale",H213*VLOOKUP(G213,Product_Master!$A:$F,6,FALSE()),IF(D213="Purchase",H213*VLOOKUP(G213,Product_Master!$A:$F,5,FALSE()),0)),0)</f>
        <v>23760</v>
      </c>
    </row>
    <row r="214" customFormat="false" ht="14.25" hidden="false" customHeight="true" outlineLevel="0" collapsed="false">
      <c r="A214" s="15" t="n">
        <v>213</v>
      </c>
      <c r="B214" s="18" t="n">
        <v>46151</v>
      </c>
      <c r="C214" s="16" t="s">
        <v>101</v>
      </c>
      <c r="D214" s="16" t="s">
        <v>102</v>
      </c>
      <c r="E214" s="16" t="n">
        <v>111</v>
      </c>
      <c r="F214" s="16" t="s">
        <v>148</v>
      </c>
      <c r="G214" s="16" t="s">
        <v>42</v>
      </c>
      <c r="H214" s="16" t="n">
        <v>240</v>
      </c>
      <c r="I214" s="19" t="n">
        <f aca="false">IFERROR(IF(D214="Sale",H214*VLOOKUP(G214,Product_Master!$A:$F,6,FALSE()),IF(D214="Purchase",H214*VLOOKUP(G214,Product_Master!$A:$F,5,FALSE()),0)),0)</f>
        <v>26880</v>
      </c>
    </row>
    <row r="215" customFormat="false" ht="14.25" hidden="false" customHeight="true" outlineLevel="0" collapsed="false">
      <c r="A215" s="15" t="n">
        <v>214</v>
      </c>
      <c r="B215" s="18" t="n">
        <v>46151</v>
      </c>
      <c r="C215" s="16" t="s">
        <v>101</v>
      </c>
      <c r="D215" s="16" t="s">
        <v>102</v>
      </c>
      <c r="E215" s="16" t="n">
        <v>111</v>
      </c>
      <c r="F215" s="16" t="s">
        <v>148</v>
      </c>
      <c r="G215" s="16" t="s">
        <v>44</v>
      </c>
      <c r="H215" s="16" t="n">
        <v>240</v>
      </c>
      <c r="I215" s="19" t="n">
        <f aca="false">IFERROR(IF(D215="Sale",H215*VLOOKUP(G215,Product_Master!$A:$F,6,FALSE()),IF(D215="Purchase",H215*VLOOKUP(G215,Product_Master!$A:$F,5,FALSE()),0)),0)</f>
        <v>32400</v>
      </c>
    </row>
    <row r="216" customFormat="false" ht="14.25" hidden="false" customHeight="true" outlineLevel="0" collapsed="false">
      <c r="A216" s="15" t="n">
        <v>215</v>
      </c>
      <c r="B216" s="18" t="n">
        <v>46153</v>
      </c>
      <c r="C216" s="16" t="s">
        <v>101</v>
      </c>
      <c r="D216" s="16" t="s">
        <v>102</v>
      </c>
      <c r="E216" s="16" t="n">
        <v>112</v>
      </c>
      <c r="F216" s="16" t="s">
        <v>127</v>
      </c>
      <c r="G216" s="16" t="s">
        <v>49</v>
      </c>
      <c r="H216" s="16" t="n">
        <v>60</v>
      </c>
      <c r="I216" s="19" t="n">
        <f aca="false">IFERROR(IF(D216="Sale",H216*VLOOKUP(G216,Product_Master!$A:$F,6,FALSE()),IF(D216="Purchase",H216*VLOOKUP(G216,Product_Master!$A:$F,5,FALSE()),0)),0)</f>
        <v>7320</v>
      </c>
    </row>
    <row r="217" customFormat="false" ht="14.25" hidden="false" customHeight="true" outlineLevel="0" collapsed="false">
      <c r="A217" s="15" t="n">
        <v>216</v>
      </c>
      <c r="B217" s="18" t="n">
        <v>46153</v>
      </c>
      <c r="C217" s="16" t="s">
        <v>101</v>
      </c>
      <c r="D217" s="16" t="s">
        <v>102</v>
      </c>
      <c r="E217" s="16" t="n">
        <v>113</v>
      </c>
      <c r="F217" s="16" t="s">
        <v>147</v>
      </c>
      <c r="G217" s="16" t="s">
        <v>84</v>
      </c>
      <c r="H217" s="16" t="n">
        <v>2</v>
      </c>
      <c r="I217" s="19" t="n">
        <f aca="false">IFERROR(IF(D217="Sale",H217*VLOOKUP(G217,Product_Master!$A:$F,6,FALSE()),IF(D217="Purchase",H217*VLOOKUP(G217,Product_Master!$A:$F,5,FALSE()),0)),0)</f>
        <v>314</v>
      </c>
    </row>
    <row r="218" customFormat="false" ht="14.25" hidden="false" customHeight="true" outlineLevel="0" collapsed="false">
      <c r="A218" s="15" t="n">
        <v>217</v>
      </c>
      <c r="B218" s="18" t="n">
        <v>46154</v>
      </c>
      <c r="C218" s="16" t="s">
        <v>101</v>
      </c>
      <c r="D218" s="16" t="s">
        <v>102</v>
      </c>
      <c r="E218" s="16" t="n">
        <v>114</v>
      </c>
      <c r="F218" s="16" t="s">
        <v>109</v>
      </c>
      <c r="G218" s="16" t="s">
        <v>40</v>
      </c>
      <c r="H218" s="16" t="n">
        <v>120</v>
      </c>
      <c r="I218" s="19" t="n">
        <f aca="false">IFERROR(IF(D218="Sale",H218*VLOOKUP(G218,Product_Master!$A:$F,6,FALSE()),IF(D218="Purchase",H218*VLOOKUP(G218,Product_Master!$A:$F,5,FALSE()),0)),0)</f>
        <v>12240</v>
      </c>
    </row>
    <row r="219" customFormat="false" ht="14.25" hidden="false" customHeight="true" outlineLevel="0" collapsed="false">
      <c r="A219" s="15" t="n">
        <v>218</v>
      </c>
      <c r="B219" s="18" t="n">
        <v>46154</v>
      </c>
      <c r="C219" s="16" t="s">
        <v>101</v>
      </c>
      <c r="D219" s="16" t="s">
        <v>102</v>
      </c>
      <c r="E219" s="16" t="n">
        <v>114</v>
      </c>
      <c r="F219" s="16" t="s">
        <v>109</v>
      </c>
      <c r="G219" s="16" t="s">
        <v>41</v>
      </c>
      <c r="H219" s="16" t="n">
        <v>120</v>
      </c>
      <c r="I219" s="19" t="n">
        <f aca="false">IFERROR(IF(D219="Sale",H219*VLOOKUP(G219,Product_Master!$A:$F,6,FALSE()),IF(D219="Purchase",H219*VLOOKUP(G219,Product_Master!$A:$F,5,FALSE()),0)),0)</f>
        <v>13320</v>
      </c>
    </row>
    <row r="220" customFormat="false" ht="14.25" hidden="false" customHeight="true" outlineLevel="0" collapsed="false">
      <c r="A220" s="15" t="n">
        <v>219</v>
      </c>
      <c r="B220" s="18" t="n">
        <v>46154</v>
      </c>
      <c r="C220" s="16" t="s">
        <v>101</v>
      </c>
      <c r="D220" s="16" t="s">
        <v>102</v>
      </c>
      <c r="E220" s="16" t="n">
        <v>114</v>
      </c>
      <c r="F220" s="16" t="s">
        <v>109</v>
      </c>
      <c r="G220" s="16" t="s">
        <v>43</v>
      </c>
      <c r="H220" s="16" t="n">
        <v>120</v>
      </c>
      <c r="I220" s="19" t="n">
        <f aca="false">IFERROR(IF(D220="Sale",H220*VLOOKUP(G220,Product_Master!$A:$F,6,FALSE()),IF(D220="Purchase",H220*VLOOKUP(G220,Product_Master!$A:$F,5,FALSE()),0)),0)</f>
        <v>19200</v>
      </c>
    </row>
    <row r="221" customFormat="false" ht="14.25" hidden="false" customHeight="true" outlineLevel="0" collapsed="false">
      <c r="A221" s="15" t="n">
        <v>220</v>
      </c>
      <c r="B221" s="18" t="n">
        <v>46154</v>
      </c>
      <c r="C221" s="16" t="s">
        <v>101</v>
      </c>
      <c r="D221" s="16" t="s">
        <v>102</v>
      </c>
      <c r="E221" s="16" t="n">
        <v>114</v>
      </c>
      <c r="F221" s="16" t="s">
        <v>109</v>
      </c>
      <c r="G221" s="16" t="s">
        <v>44</v>
      </c>
      <c r="H221" s="16" t="n">
        <v>120</v>
      </c>
      <c r="I221" s="19" t="n">
        <f aca="false">IFERROR(IF(D221="Sale",H221*VLOOKUP(G221,Product_Master!$A:$F,6,FALSE()),IF(D221="Purchase",H221*VLOOKUP(G221,Product_Master!$A:$F,5,FALSE()),0)),0)</f>
        <v>16200</v>
      </c>
    </row>
    <row r="222" customFormat="false" ht="14.25" hidden="false" customHeight="true" outlineLevel="0" collapsed="false">
      <c r="A222" s="15" t="n">
        <v>221</v>
      </c>
      <c r="B222" s="18" t="n">
        <v>46154</v>
      </c>
      <c r="C222" s="16" t="s">
        <v>101</v>
      </c>
      <c r="D222" s="16" t="s">
        <v>102</v>
      </c>
      <c r="E222" s="16" t="n">
        <v>115</v>
      </c>
      <c r="F222" s="16" t="s">
        <v>109</v>
      </c>
      <c r="G222" s="16" t="s">
        <v>45</v>
      </c>
      <c r="H222" s="16" t="n">
        <v>150</v>
      </c>
      <c r="I222" s="19" t="n">
        <f aca="false">IFERROR(IF(D222="Sale",H222*VLOOKUP(G222,Product_Master!$A:$F,6,FALSE()),IF(D222="Purchase",H222*VLOOKUP(G222,Product_Master!$A:$F,5,FALSE()),0)),0)</f>
        <v>27750</v>
      </c>
    </row>
    <row r="223" customFormat="false" ht="14.25" hidden="false" customHeight="true" outlineLevel="0" collapsed="false">
      <c r="A223" s="15" t="n">
        <v>222</v>
      </c>
      <c r="B223" s="18" t="n">
        <v>46154</v>
      </c>
      <c r="C223" s="16" t="s">
        <v>101</v>
      </c>
      <c r="D223" s="16" t="s">
        <v>102</v>
      </c>
      <c r="E223" s="16" t="n">
        <v>116</v>
      </c>
      <c r="F223" s="16" t="s">
        <v>145</v>
      </c>
      <c r="G223" s="16" t="s">
        <v>51</v>
      </c>
      <c r="H223" s="16" t="n">
        <v>60</v>
      </c>
      <c r="I223" s="19" t="n">
        <f aca="false">IFERROR(IF(D223="Sale",H223*VLOOKUP(G223,Product_Master!$A:$F,6,FALSE()),IF(D223="Purchase",H223*VLOOKUP(G223,Product_Master!$A:$F,5,FALSE()),0)),0)</f>
        <v>16920</v>
      </c>
    </row>
    <row r="224" customFormat="false" ht="14.25" hidden="false" customHeight="true" outlineLevel="0" collapsed="false">
      <c r="A224" s="15" t="n">
        <v>223</v>
      </c>
      <c r="B224" s="18" t="n">
        <v>46154</v>
      </c>
      <c r="C224" s="16" t="s">
        <v>101</v>
      </c>
      <c r="D224" s="16" t="s">
        <v>102</v>
      </c>
      <c r="E224" s="16" t="n">
        <v>117</v>
      </c>
      <c r="F224" s="16" t="s">
        <v>131</v>
      </c>
      <c r="G224" s="16" t="s">
        <v>44</v>
      </c>
      <c r="H224" s="16" t="n">
        <v>120</v>
      </c>
      <c r="I224" s="19" t="n">
        <f aca="false">IFERROR(IF(D224="Sale",H224*VLOOKUP(G224,Product_Master!$A:$F,6,FALSE()),IF(D224="Purchase",H224*VLOOKUP(G224,Product_Master!$A:$F,5,FALSE()),0)),0)</f>
        <v>16200</v>
      </c>
    </row>
    <row r="225" customFormat="false" ht="14.25" hidden="false" customHeight="true" outlineLevel="0" collapsed="false">
      <c r="A225" s="15" t="n">
        <v>224</v>
      </c>
      <c r="B225" s="18" t="n">
        <v>46154</v>
      </c>
      <c r="C225" s="16" t="s">
        <v>101</v>
      </c>
      <c r="D225" s="16" t="s">
        <v>102</v>
      </c>
      <c r="E225" s="16" t="n">
        <v>117</v>
      </c>
      <c r="F225" s="16" t="s">
        <v>131</v>
      </c>
      <c r="G225" s="16" t="s">
        <v>55</v>
      </c>
      <c r="H225" s="16" t="n">
        <v>25</v>
      </c>
      <c r="I225" s="19" t="n">
        <f aca="false">IFERROR(IF(D225="Sale",H225*VLOOKUP(G225,Product_Master!$A:$F,6,FALSE()),IF(D225="Purchase",H225*VLOOKUP(G225,Product_Master!$A:$F,5,FALSE()),0)),0)</f>
        <v>4500</v>
      </c>
    </row>
    <row r="226" customFormat="false" ht="14.25" hidden="false" customHeight="true" outlineLevel="0" collapsed="false">
      <c r="A226" s="15" t="n">
        <v>225</v>
      </c>
      <c r="B226" s="18" t="n">
        <v>46154</v>
      </c>
      <c r="C226" s="16" t="s">
        <v>101</v>
      </c>
      <c r="D226" s="16" t="s">
        <v>102</v>
      </c>
      <c r="E226" s="16" t="n">
        <v>91</v>
      </c>
      <c r="F226" s="16" t="s">
        <v>110</v>
      </c>
      <c r="G226" s="16" t="s">
        <v>42</v>
      </c>
      <c r="H226" s="16" t="n">
        <v>120</v>
      </c>
      <c r="I226" s="19" t="n">
        <f aca="false">IFERROR(IF(D226="Sale",H226*VLOOKUP(G226,Product_Master!$A:$F,6,FALSE()),IF(D226="Purchase",H226*VLOOKUP(G226,Product_Master!$A:$F,5,FALSE()),0)),0)</f>
        <v>13440</v>
      </c>
    </row>
    <row r="227" customFormat="false" ht="14.25" hidden="false" customHeight="true" outlineLevel="0" collapsed="false">
      <c r="A227" s="15" t="n">
        <v>226</v>
      </c>
      <c r="B227" s="18" t="n">
        <v>46154</v>
      </c>
      <c r="C227" s="16" t="s">
        <v>101</v>
      </c>
      <c r="D227" s="16" t="s">
        <v>102</v>
      </c>
      <c r="E227" s="16" t="n">
        <v>91</v>
      </c>
      <c r="F227" s="16" t="s">
        <v>110</v>
      </c>
      <c r="G227" s="16" t="s">
        <v>44</v>
      </c>
      <c r="H227" s="16" t="n">
        <v>120</v>
      </c>
      <c r="I227" s="19" t="n">
        <f aca="false">IFERROR(IF(D227="Sale",H227*VLOOKUP(G227,Product_Master!$A:$F,6,FALSE()),IF(D227="Purchase",H227*VLOOKUP(G227,Product_Master!$A:$F,5,FALSE()),0)),0)</f>
        <v>16200</v>
      </c>
    </row>
    <row r="228" customFormat="false" ht="14.25" hidden="false" customHeight="true" outlineLevel="0" collapsed="false">
      <c r="A228" s="15" t="n">
        <v>227</v>
      </c>
      <c r="B228" s="18" t="n">
        <v>46154</v>
      </c>
      <c r="C228" s="16" t="s">
        <v>101</v>
      </c>
      <c r="D228" s="16" t="s">
        <v>102</v>
      </c>
      <c r="E228" s="16" t="n">
        <v>92</v>
      </c>
      <c r="F228" s="16" t="s">
        <v>135</v>
      </c>
      <c r="G228" s="16" t="s">
        <v>49</v>
      </c>
      <c r="H228" s="16" t="n">
        <v>10</v>
      </c>
      <c r="I228" s="19" t="n">
        <f aca="false">IFERROR(IF(D228="Sale",H228*VLOOKUP(G228,Product_Master!$A:$F,6,FALSE()),IF(D228="Purchase",H228*VLOOKUP(G228,Product_Master!$A:$F,5,FALSE()),0)),0)</f>
        <v>1220</v>
      </c>
    </row>
    <row r="229" customFormat="false" ht="14.25" hidden="false" customHeight="true" outlineLevel="0" collapsed="false">
      <c r="A229" s="15" t="n">
        <v>228</v>
      </c>
      <c r="B229" s="18" t="n">
        <v>46155</v>
      </c>
      <c r="C229" s="16" t="s">
        <v>101</v>
      </c>
      <c r="D229" s="16" t="s">
        <v>102</v>
      </c>
      <c r="E229" s="16" t="n">
        <v>118</v>
      </c>
      <c r="F229" s="16" t="s">
        <v>147</v>
      </c>
      <c r="G229" s="16" t="s">
        <v>44</v>
      </c>
      <c r="H229" s="16" t="n">
        <v>240</v>
      </c>
      <c r="I229" s="19" t="n">
        <f aca="false">IFERROR(IF(D229="Sale",H229*VLOOKUP(G229,Product_Master!$A:$F,6,FALSE()),IF(D229="Purchase",H229*VLOOKUP(G229,Product_Master!$A:$F,5,FALSE()),0)),0)</f>
        <v>32400</v>
      </c>
    </row>
    <row r="230" customFormat="false" ht="14.25" hidden="false" customHeight="true" outlineLevel="0" collapsed="false">
      <c r="A230" s="15" t="n">
        <v>229</v>
      </c>
      <c r="B230" s="18" t="n">
        <v>46155</v>
      </c>
      <c r="C230" s="16" t="s">
        <v>101</v>
      </c>
      <c r="D230" s="16" t="s">
        <v>102</v>
      </c>
      <c r="E230" s="16" t="n">
        <v>93</v>
      </c>
      <c r="F230" s="16" t="s">
        <v>135</v>
      </c>
      <c r="G230" s="16" t="s">
        <v>49</v>
      </c>
      <c r="H230" s="16" t="n">
        <v>10</v>
      </c>
      <c r="I230" s="19" t="n">
        <f aca="false">IFERROR(IF(D230="Sale",H230*VLOOKUP(G230,Product_Master!$A:$F,6,FALSE()),IF(D230="Purchase",H230*VLOOKUP(G230,Product_Master!$A:$F,5,FALSE()),0)),0)</f>
        <v>1220</v>
      </c>
    </row>
    <row r="231" customFormat="false" ht="14.25" hidden="false" customHeight="true" outlineLevel="0" collapsed="false">
      <c r="A231" s="15" t="n">
        <v>230</v>
      </c>
      <c r="B231" s="18" t="n">
        <v>46155</v>
      </c>
      <c r="C231" s="16" t="s">
        <v>101</v>
      </c>
      <c r="D231" s="16" t="s">
        <v>102</v>
      </c>
      <c r="E231" s="16" t="n">
        <v>93</v>
      </c>
      <c r="F231" s="16" t="s">
        <v>135</v>
      </c>
      <c r="G231" s="16" t="s">
        <v>75</v>
      </c>
      <c r="H231" s="16" t="n">
        <v>1</v>
      </c>
      <c r="I231" s="19" t="n">
        <f aca="false">IFERROR(IF(D231="Sale",H231*VLOOKUP(G231,Product_Master!$A:$F,6,FALSE()),IF(D231="Purchase",H231*VLOOKUP(G231,Product_Master!$A:$F,5,FALSE()),0)),0)</f>
        <v>900</v>
      </c>
    </row>
    <row r="232" customFormat="false" ht="14.25" hidden="false" customHeight="true" outlineLevel="0" collapsed="false">
      <c r="A232" s="15" t="n">
        <v>231</v>
      </c>
      <c r="B232" s="18" t="n">
        <v>46156</v>
      </c>
      <c r="C232" s="16" t="s">
        <v>101</v>
      </c>
      <c r="D232" s="16" t="s">
        <v>102</v>
      </c>
      <c r="E232" s="16" t="n">
        <v>94</v>
      </c>
      <c r="F232" s="16" t="s">
        <v>135</v>
      </c>
      <c r="G232" s="16" t="s">
        <v>49</v>
      </c>
      <c r="H232" s="16" t="n">
        <v>10</v>
      </c>
      <c r="I232" s="19" t="n">
        <f aca="false">IFERROR(IF(D232="Sale",H232*VLOOKUP(G232,Product_Master!$A:$F,6,FALSE()),IF(D232="Purchase",H232*VLOOKUP(G232,Product_Master!$A:$F,5,FALSE()),0)),0)</f>
        <v>1220</v>
      </c>
    </row>
    <row r="233" customFormat="false" ht="14.25" hidden="false" customHeight="true" outlineLevel="0" collapsed="false">
      <c r="A233" s="15" t="n">
        <v>232</v>
      </c>
      <c r="B233" s="18" t="n">
        <v>46156</v>
      </c>
      <c r="C233" s="16" t="s">
        <v>101</v>
      </c>
      <c r="D233" s="16" t="s">
        <v>102</v>
      </c>
      <c r="E233" s="16" t="n">
        <v>94</v>
      </c>
      <c r="F233" s="16" t="s">
        <v>135</v>
      </c>
      <c r="G233" s="16" t="s">
        <v>75</v>
      </c>
      <c r="H233" s="16" t="n">
        <v>3</v>
      </c>
      <c r="I233" s="19" t="n">
        <f aca="false">IFERROR(IF(D233="Sale",H233*VLOOKUP(G233,Product_Master!$A:$F,6,FALSE()),IF(D233="Purchase",H233*VLOOKUP(G233,Product_Master!$A:$F,5,FALSE()),0)),0)</f>
        <v>2700</v>
      </c>
    </row>
    <row r="234" customFormat="false" ht="14.25" hidden="false" customHeight="true" outlineLevel="0" collapsed="false">
      <c r="A234" s="15" t="n">
        <v>233</v>
      </c>
      <c r="B234" s="18" t="n">
        <v>46157</v>
      </c>
      <c r="C234" s="16" t="s">
        <v>101</v>
      </c>
      <c r="D234" s="16" t="s">
        <v>102</v>
      </c>
      <c r="E234" s="16" t="n">
        <v>119</v>
      </c>
      <c r="F234" s="16" t="s">
        <v>126</v>
      </c>
      <c r="G234" s="16" t="s">
        <v>41</v>
      </c>
      <c r="H234" s="16" t="n">
        <v>240</v>
      </c>
      <c r="I234" s="19" t="n">
        <f aca="false">IFERROR(IF(D234="Sale",H234*VLOOKUP(G234,Product_Master!$A:$F,6,FALSE()),IF(D234="Purchase",H234*VLOOKUP(G234,Product_Master!$A:$F,5,FALSE()),0)),0)</f>
        <v>26640</v>
      </c>
    </row>
    <row r="235" customFormat="false" ht="14.25" hidden="false" customHeight="true" outlineLevel="0" collapsed="false">
      <c r="A235" s="15" t="n">
        <v>234</v>
      </c>
      <c r="B235" s="18" t="n">
        <v>46157</v>
      </c>
      <c r="C235" s="16" t="s">
        <v>101</v>
      </c>
      <c r="D235" s="16" t="s">
        <v>102</v>
      </c>
      <c r="E235" s="16" t="n">
        <v>119</v>
      </c>
      <c r="F235" s="16" t="s">
        <v>126</v>
      </c>
      <c r="G235" s="16" t="s">
        <v>42</v>
      </c>
      <c r="H235" s="16" t="n">
        <v>120</v>
      </c>
      <c r="I235" s="19" t="n">
        <f aca="false">IFERROR(IF(D235="Sale",H235*VLOOKUP(G235,Product_Master!$A:$F,6,FALSE()),IF(D235="Purchase",H235*VLOOKUP(G235,Product_Master!$A:$F,5,FALSE()),0)),0)</f>
        <v>13440</v>
      </c>
    </row>
    <row r="236" customFormat="false" ht="14.25" hidden="false" customHeight="true" outlineLevel="0" collapsed="false">
      <c r="A236" s="15" t="n">
        <v>235</v>
      </c>
      <c r="B236" s="18" t="n">
        <v>46157</v>
      </c>
      <c r="C236" s="16" t="s">
        <v>101</v>
      </c>
      <c r="D236" s="16" t="s">
        <v>102</v>
      </c>
      <c r="E236" s="16" t="n">
        <v>119</v>
      </c>
      <c r="F236" s="16" t="s">
        <v>126</v>
      </c>
      <c r="G236" s="16" t="s">
        <v>50</v>
      </c>
      <c r="H236" s="16" t="n">
        <v>100</v>
      </c>
      <c r="I236" s="19" t="n">
        <f aca="false">IFERROR(IF(D236="Sale",H236*VLOOKUP(G236,Product_Master!$A:$F,6,FALSE()),IF(D236="Purchase",H236*VLOOKUP(G236,Product_Master!$A:$F,5,FALSE()),0)),0)</f>
        <v>22500</v>
      </c>
    </row>
    <row r="237" customFormat="false" ht="14.25" hidden="false" customHeight="true" outlineLevel="0" collapsed="false">
      <c r="A237" s="15" t="n">
        <v>236</v>
      </c>
      <c r="B237" s="18" t="n">
        <v>46157</v>
      </c>
      <c r="C237" s="16" t="s">
        <v>101</v>
      </c>
      <c r="D237" s="16" t="s">
        <v>102</v>
      </c>
      <c r="E237" s="16" t="n">
        <v>119</v>
      </c>
      <c r="F237" s="16" t="s">
        <v>126</v>
      </c>
      <c r="G237" s="16" t="s">
        <v>53</v>
      </c>
      <c r="H237" s="16" t="n">
        <v>150</v>
      </c>
      <c r="I237" s="19" t="n">
        <f aca="false">IFERROR(IF(D237="Sale",H237*VLOOKUP(G237,Product_Master!$A:$F,6,FALSE()),IF(D237="Purchase",H237*VLOOKUP(G237,Product_Master!$A:$F,5,FALSE()),0)),0)</f>
        <v>12750</v>
      </c>
    </row>
    <row r="238" customFormat="false" ht="14.25" hidden="false" customHeight="true" outlineLevel="0" collapsed="false">
      <c r="A238" s="15" t="n">
        <v>237</v>
      </c>
      <c r="B238" s="18" t="n">
        <v>46157</v>
      </c>
      <c r="C238" s="16" t="s">
        <v>101</v>
      </c>
      <c r="D238" s="16" t="s">
        <v>102</v>
      </c>
      <c r="E238" s="16" t="n">
        <v>119</v>
      </c>
      <c r="F238" s="16" t="s">
        <v>126</v>
      </c>
      <c r="G238" s="16" t="s">
        <v>55</v>
      </c>
      <c r="H238" s="16" t="n">
        <v>50</v>
      </c>
      <c r="I238" s="19" t="n">
        <f aca="false">IFERROR(IF(D238="Sale",H238*VLOOKUP(G238,Product_Master!$A:$F,6,FALSE()),IF(D238="Purchase",H238*VLOOKUP(G238,Product_Master!$A:$F,5,FALSE()),0)),0)</f>
        <v>9000</v>
      </c>
    </row>
    <row r="239" customFormat="false" ht="14.25" hidden="false" customHeight="true" outlineLevel="0" collapsed="false">
      <c r="A239" s="15" t="n">
        <v>238</v>
      </c>
      <c r="B239" s="18" t="n">
        <v>46157</v>
      </c>
      <c r="C239" s="16" t="s">
        <v>101</v>
      </c>
      <c r="D239" s="16" t="s">
        <v>102</v>
      </c>
      <c r="E239" s="16" t="n">
        <v>120</v>
      </c>
      <c r="F239" s="16" t="s">
        <v>104</v>
      </c>
      <c r="G239" s="16" t="s">
        <v>73</v>
      </c>
      <c r="H239" s="16" t="n">
        <v>100</v>
      </c>
      <c r="I239" s="19" t="n">
        <f aca="false">IFERROR(IF(D239="Sale",H239*VLOOKUP(G239,Product_Master!$A:$F,6,FALSE()),IF(D239="Purchase",H239*VLOOKUP(G239,Product_Master!$A:$F,5,FALSE()),0)),0)</f>
        <v>14000</v>
      </c>
    </row>
    <row r="240" customFormat="false" ht="14.25" hidden="false" customHeight="true" outlineLevel="0" collapsed="false">
      <c r="A240" s="15" t="n">
        <v>239</v>
      </c>
      <c r="B240" s="18" t="n">
        <v>46157</v>
      </c>
      <c r="C240" s="16" t="s">
        <v>101</v>
      </c>
      <c r="D240" s="16" t="s">
        <v>102</v>
      </c>
      <c r="E240" s="16" t="n">
        <v>121</v>
      </c>
      <c r="F240" s="16" t="s">
        <v>167</v>
      </c>
      <c r="G240" s="16" t="s">
        <v>80</v>
      </c>
      <c r="H240" s="16" t="n">
        <v>120</v>
      </c>
      <c r="I240" s="19" t="n">
        <f aca="false">IFERROR(IF(D240="Sale",H240*VLOOKUP(G240,Product_Master!$A:$F,6,FALSE()),IF(D240="Purchase",H240*VLOOKUP(G240,Product_Master!$A:$F,5,FALSE()),0)),0)</f>
        <v>26520</v>
      </c>
    </row>
    <row r="241" customFormat="false" ht="14.25" hidden="false" customHeight="true" outlineLevel="0" collapsed="false">
      <c r="A241" s="15" t="n">
        <v>240</v>
      </c>
      <c r="B241" s="18" t="n">
        <v>46157</v>
      </c>
      <c r="C241" s="16" t="s">
        <v>101</v>
      </c>
      <c r="D241" s="16" t="s">
        <v>102</v>
      </c>
      <c r="E241" s="16" t="n">
        <v>95</v>
      </c>
      <c r="F241" s="16" t="s">
        <v>110</v>
      </c>
      <c r="G241" s="16" t="s">
        <v>44</v>
      </c>
      <c r="H241" s="16" t="n">
        <v>120</v>
      </c>
      <c r="I241" s="19" t="n">
        <f aca="false">IFERROR(IF(D241="Sale",H241*VLOOKUP(G241,Product_Master!$A:$F,6,FALSE()),IF(D241="Purchase",H241*VLOOKUP(G241,Product_Master!$A:$F,5,FALSE()),0)),0)</f>
        <v>16200</v>
      </c>
    </row>
    <row r="242" customFormat="false" ht="14.25" hidden="false" customHeight="true" outlineLevel="0" collapsed="false">
      <c r="A242" s="15" t="n">
        <v>241</v>
      </c>
      <c r="B242" s="18" t="n">
        <v>46157</v>
      </c>
      <c r="C242" s="16" t="s">
        <v>101</v>
      </c>
      <c r="D242" s="16" t="s">
        <v>102</v>
      </c>
      <c r="E242" s="16" t="n">
        <v>95</v>
      </c>
      <c r="F242" s="16" t="s">
        <v>110</v>
      </c>
      <c r="G242" s="16" t="s">
        <v>54</v>
      </c>
      <c r="H242" s="16" t="n">
        <v>25</v>
      </c>
      <c r="I242" s="19" t="n">
        <f aca="false">IFERROR(IF(D242="Sale",H242*VLOOKUP(G242,Product_Master!$A:$F,6,FALSE()),IF(D242="Purchase",H242*VLOOKUP(G242,Product_Master!$A:$F,5,FALSE()),0)),0)</f>
        <v>3875</v>
      </c>
    </row>
    <row r="243" customFormat="false" ht="14.25" hidden="false" customHeight="true" outlineLevel="0" collapsed="false">
      <c r="A243" s="15" t="n">
        <v>242</v>
      </c>
      <c r="B243" s="18" t="n">
        <v>46158</v>
      </c>
      <c r="C243" s="16" t="s">
        <v>101</v>
      </c>
      <c r="D243" s="16" t="s">
        <v>102</v>
      </c>
      <c r="E243" s="16" t="n">
        <v>96</v>
      </c>
      <c r="F243" s="16" t="s">
        <v>168</v>
      </c>
      <c r="G243" s="16" t="s">
        <v>41</v>
      </c>
      <c r="H243" s="16" t="n">
        <v>48</v>
      </c>
      <c r="I243" s="19" t="n">
        <f aca="false">IFERROR(IF(D243="Sale",H243*VLOOKUP(G243,Product_Master!$A:$F,6,FALSE()),IF(D243="Purchase",H243*VLOOKUP(G243,Product_Master!$A:$F,5,FALSE()),0)),0)</f>
        <v>5328</v>
      </c>
    </row>
    <row r="244" customFormat="false" ht="14.25" hidden="false" customHeight="true" outlineLevel="0" collapsed="false">
      <c r="A244" s="15" t="n">
        <v>243</v>
      </c>
      <c r="B244" s="18" t="n">
        <v>46158</v>
      </c>
      <c r="C244" s="16" t="s">
        <v>101</v>
      </c>
      <c r="D244" s="16" t="s">
        <v>102</v>
      </c>
      <c r="E244" s="16" t="n">
        <v>96</v>
      </c>
      <c r="F244" s="16" t="s">
        <v>168</v>
      </c>
      <c r="G244" s="16" t="s">
        <v>44</v>
      </c>
      <c r="H244" s="16" t="n">
        <v>48</v>
      </c>
      <c r="I244" s="19" t="n">
        <f aca="false">IFERROR(IF(D244="Sale",H244*VLOOKUP(G244,Product_Master!$A:$F,6,FALSE()),IF(D244="Purchase",H244*VLOOKUP(G244,Product_Master!$A:$F,5,FALSE()),0)),0)</f>
        <v>6480</v>
      </c>
    </row>
    <row r="245" customFormat="false" ht="14.25" hidden="false" customHeight="true" outlineLevel="0" collapsed="false">
      <c r="A245" s="15" t="n">
        <v>244</v>
      </c>
      <c r="B245" s="18" t="n">
        <v>46158</v>
      </c>
      <c r="C245" s="16" t="s">
        <v>101</v>
      </c>
      <c r="D245" s="16" t="s">
        <v>102</v>
      </c>
      <c r="E245" s="16" t="n">
        <v>96</v>
      </c>
      <c r="F245" s="16" t="s">
        <v>168</v>
      </c>
      <c r="G245" s="16" t="s">
        <v>92</v>
      </c>
      <c r="H245" s="16" t="n">
        <v>4</v>
      </c>
      <c r="I245" s="19" t="n">
        <f aca="false">IFERROR(IF(D245="Sale",H245*VLOOKUP(G245,Product_Master!$A:$F,6,FALSE()),IF(D245="Purchase",H245*VLOOKUP(G245,Product_Master!$A:$F,5,FALSE()),0)),0)</f>
        <v>980</v>
      </c>
    </row>
    <row r="246" customFormat="false" ht="14.25" hidden="false" customHeight="true" outlineLevel="0" collapsed="false">
      <c r="A246" s="15" t="n">
        <v>245</v>
      </c>
      <c r="B246" s="18" t="n">
        <v>46160</v>
      </c>
      <c r="C246" s="16" t="s">
        <v>101</v>
      </c>
      <c r="D246" s="16" t="s">
        <v>102</v>
      </c>
      <c r="E246" s="16" t="n">
        <v>122</v>
      </c>
      <c r="F246" s="16" t="s">
        <v>169</v>
      </c>
      <c r="G246" s="16" t="s">
        <v>49</v>
      </c>
      <c r="H246" s="16" t="n">
        <v>540</v>
      </c>
      <c r="I246" s="19" t="n">
        <f aca="false">IFERROR(IF(D246="Sale",H246*VLOOKUP(G246,Product_Master!$A:$F,6,FALSE()),IF(D246="Purchase",H246*VLOOKUP(G246,Product_Master!$A:$F,5,FALSE()),0)),0)</f>
        <v>65880</v>
      </c>
    </row>
    <row r="247" customFormat="false" ht="14.25" hidden="false" customHeight="true" outlineLevel="0" collapsed="false">
      <c r="A247" s="15" t="n">
        <v>246</v>
      </c>
      <c r="B247" s="18" t="n">
        <v>46160</v>
      </c>
      <c r="C247" s="16" t="s">
        <v>101</v>
      </c>
      <c r="D247" s="16" t="s">
        <v>102</v>
      </c>
      <c r="E247" s="16" t="n">
        <v>98</v>
      </c>
      <c r="F247" s="16" t="s">
        <v>170</v>
      </c>
      <c r="G247" s="16" t="s">
        <v>75</v>
      </c>
      <c r="H247" s="16" t="n">
        <v>1</v>
      </c>
      <c r="I247" s="19" t="n">
        <f aca="false">IFERROR(IF(D247="Sale",H247*VLOOKUP(G247,Product_Master!$A:$F,6,FALSE()),IF(D247="Purchase",H247*VLOOKUP(G247,Product_Master!$A:$F,5,FALSE()),0)),0)</f>
        <v>900</v>
      </c>
    </row>
    <row r="248" customFormat="false" ht="14.25" hidden="false" customHeight="true" outlineLevel="0" collapsed="false">
      <c r="A248" s="15" t="n">
        <v>247</v>
      </c>
      <c r="B248" s="18" t="n">
        <v>46160</v>
      </c>
      <c r="C248" s="16" t="s">
        <v>101</v>
      </c>
      <c r="D248" s="16" t="s">
        <v>102</v>
      </c>
      <c r="E248" s="16" t="n">
        <v>98</v>
      </c>
      <c r="F248" s="16" t="s">
        <v>170</v>
      </c>
      <c r="G248" s="16" t="s">
        <v>92</v>
      </c>
      <c r="H248" s="16" t="n">
        <v>6</v>
      </c>
      <c r="I248" s="19" t="n">
        <f aca="false">IFERROR(IF(D248="Sale",H248*VLOOKUP(G248,Product_Master!$A:$F,6,FALSE()),IF(D248="Purchase",H248*VLOOKUP(G248,Product_Master!$A:$F,5,FALSE()),0)),0)</f>
        <v>1470</v>
      </c>
    </row>
    <row r="249" customFormat="false" ht="14.25" hidden="false" customHeight="true" outlineLevel="0" collapsed="false">
      <c r="A249" s="15" t="n">
        <v>248</v>
      </c>
      <c r="B249" s="18" t="n">
        <v>46160</v>
      </c>
      <c r="C249" s="16" t="s">
        <v>101</v>
      </c>
      <c r="D249" s="16" t="s">
        <v>102</v>
      </c>
      <c r="E249" s="16" t="n">
        <v>123</v>
      </c>
      <c r="F249" s="16" t="s">
        <v>115</v>
      </c>
      <c r="G249" s="16" t="s">
        <v>53</v>
      </c>
      <c r="H249" s="16" t="n">
        <v>150</v>
      </c>
      <c r="I249" s="19" t="n">
        <f aca="false">IFERROR(IF(D249="Sale",H249*VLOOKUP(G249,Product_Master!$A:$F,6,FALSE()),IF(D249="Purchase",H249*VLOOKUP(G249,Product_Master!$A:$F,5,FALSE()),0)),0)</f>
        <v>12750</v>
      </c>
    </row>
    <row r="250" customFormat="false" ht="14.25" hidden="false" customHeight="true" outlineLevel="0" collapsed="false">
      <c r="A250" s="15" t="n">
        <v>249</v>
      </c>
      <c r="B250" s="18" t="n">
        <v>46161</v>
      </c>
      <c r="C250" s="16" t="s">
        <v>101</v>
      </c>
      <c r="D250" s="16" t="s">
        <v>102</v>
      </c>
      <c r="E250" s="16" t="n">
        <v>99</v>
      </c>
      <c r="F250" s="16" t="s">
        <v>135</v>
      </c>
      <c r="G250" s="16" t="s">
        <v>49</v>
      </c>
      <c r="H250" s="16" t="n">
        <v>10</v>
      </c>
      <c r="I250" s="19" t="n">
        <f aca="false">IFERROR(IF(D250="Sale",H250*VLOOKUP(G250,Product_Master!$A:$F,6,FALSE()),IF(D250="Purchase",H250*VLOOKUP(G250,Product_Master!$A:$F,5,FALSE()),0)),0)</f>
        <v>1220</v>
      </c>
    </row>
    <row r="251" customFormat="false" ht="14.25" hidden="false" customHeight="true" outlineLevel="0" collapsed="false">
      <c r="A251" s="15" t="n">
        <v>250</v>
      </c>
      <c r="B251" s="18" t="n">
        <v>46161</v>
      </c>
      <c r="C251" s="16" t="s">
        <v>101</v>
      </c>
      <c r="D251" s="16" t="s">
        <v>102</v>
      </c>
      <c r="E251" s="16" t="n">
        <v>99</v>
      </c>
      <c r="F251" s="16" t="s">
        <v>135</v>
      </c>
      <c r="G251" s="16" t="s">
        <v>75</v>
      </c>
      <c r="H251" s="16" t="n">
        <v>2</v>
      </c>
      <c r="I251" s="19" t="n">
        <f aca="false">IFERROR(IF(D251="Sale",H251*VLOOKUP(G251,Product_Master!$A:$F,6,FALSE()),IF(D251="Purchase",H251*VLOOKUP(G251,Product_Master!$A:$F,5,FALSE()),0)),0)</f>
        <v>1800</v>
      </c>
    </row>
    <row r="252" customFormat="false" ht="14.25" hidden="false" customHeight="true" outlineLevel="0" collapsed="false">
      <c r="A252" s="15" t="n">
        <v>251</v>
      </c>
      <c r="B252" s="18" t="n">
        <v>46161</v>
      </c>
      <c r="C252" s="16" t="s">
        <v>101</v>
      </c>
      <c r="D252" s="16" t="s">
        <v>102</v>
      </c>
      <c r="E252" s="16" t="n">
        <v>100</v>
      </c>
      <c r="F252" s="16" t="s">
        <v>135</v>
      </c>
      <c r="G252" s="16" t="s">
        <v>51</v>
      </c>
      <c r="H252" s="16" t="n">
        <v>20</v>
      </c>
      <c r="I252" s="19" t="n">
        <f aca="false">IFERROR(IF(D252="Sale",H252*VLOOKUP(G252,Product_Master!$A:$F,6,FALSE()),IF(D252="Purchase",H252*VLOOKUP(G252,Product_Master!$A:$F,5,FALSE()),0)),0)</f>
        <v>5640</v>
      </c>
    </row>
    <row r="253" customFormat="false" ht="14.25" hidden="false" customHeight="true" outlineLevel="0" collapsed="false">
      <c r="A253" s="15" t="n">
        <v>252</v>
      </c>
      <c r="B253" s="18" t="n">
        <v>46161</v>
      </c>
      <c r="C253" s="16" t="s">
        <v>101</v>
      </c>
      <c r="D253" s="16" t="s">
        <v>102</v>
      </c>
      <c r="E253" s="16" t="n">
        <v>100</v>
      </c>
      <c r="F253" s="16" t="s">
        <v>135</v>
      </c>
      <c r="G253" s="16" t="s">
        <v>75</v>
      </c>
      <c r="H253" s="16" t="n">
        <v>2</v>
      </c>
      <c r="I253" s="19" t="n">
        <f aca="false">IFERROR(IF(D253="Sale",H253*VLOOKUP(G253,Product_Master!$A:$F,6,FALSE()),IF(D253="Purchase",H253*VLOOKUP(G253,Product_Master!$A:$F,5,FALSE()),0)),0)</f>
        <v>1800</v>
      </c>
    </row>
    <row r="254" customFormat="false" ht="14.25" hidden="false" customHeight="true" outlineLevel="0" collapsed="false">
      <c r="A254" s="15" t="n">
        <v>253</v>
      </c>
      <c r="B254" s="18" t="n">
        <v>46161</v>
      </c>
      <c r="C254" s="16" t="s">
        <v>101</v>
      </c>
      <c r="D254" s="16" t="s">
        <v>102</v>
      </c>
      <c r="E254" s="16" t="n">
        <v>99</v>
      </c>
      <c r="F254" s="16" t="s">
        <v>171</v>
      </c>
      <c r="G254" s="16" t="s">
        <v>39</v>
      </c>
      <c r="H254" s="16" t="n">
        <v>120</v>
      </c>
      <c r="I254" s="19" t="n">
        <f aca="false">IFERROR(IF(D254="Sale",H254*VLOOKUP(G254,Product_Master!$A:$F,6,FALSE()),IF(D254="Purchase",H254*VLOOKUP(G254,Product_Master!$A:$F,5,FALSE()),0)),0)</f>
        <v>12720</v>
      </c>
    </row>
    <row r="255" customFormat="false" ht="14.25" hidden="false" customHeight="true" outlineLevel="0" collapsed="false">
      <c r="A255" s="15" t="n">
        <v>254</v>
      </c>
      <c r="B255" s="18" t="n">
        <v>46161</v>
      </c>
      <c r="C255" s="16" t="s">
        <v>101</v>
      </c>
      <c r="D255" s="16" t="s">
        <v>102</v>
      </c>
      <c r="E255" s="16" t="n">
        <v>99</v>
      </c>
      <c r="F255" s="16" t="s">
        <v>171</v>
      </c>
      <c r="G255" s="16" t="s">
        <v>40</v>
      </c>
      <c r="H255" s="16" t="n">
        <v>120</v>
      </c>
      <c r="I255" s="19" t="n">
        <f aca="false">IFERROR(IF(D255="Sale",H255*VLOOKUP(G255,Product_Master!$A:$F,6,FALSE()),IF(D255="Purchase",H255*VLOOKUP(G255,Product_Master!$A:$F,5,FALSE()),0)),0)</f>
        <v>12240</v>
      </c>
    </row>
    <row r="256" customFormat="false" ht="14.25" hidden="false" customHeight="true" outlineLevel="0" collapsed="false">
      <c r="A256" s="15" t="n">
        <v>255</v>
      </c>
      <c r="B256" s="18" t="n">
        <v>46161</v>
      </c>
      <c r="C256" s="16" t="s">
        <v>101</v>
      </c>
      <c r="D256" s="16" t="s">
        <v>102</v>
      </c>
      <c r="E256" s="16" t="n">
        <v>99</v>
      </c>
      <c r="F256" s="16" t="s">
        <v>171</v>
      </c>
      <c r="G256" s="16" t="s">
        <v>41</v>
      </c>
      <c r="H256" s="16" t="n">
        <v>120</v>
      </c>
      <c r="I256" s="19" t="n">
        <f aca="false">IFERROR(IF(D256="Sale",H256*VLOOKUP(G256,Product_Master!$A:$F,6,FALSE()),IF(D256="Purchase",H256*VLOOKUP(G256,Product_Master!$A:$F,5,FALSE()),0)),0)</f>
        <v>13320</v>
      </c>
    </row>
    <row r="257" customFormat="false" ht="14.25" hidden="false" customHeight="true" outlineLevel="0" collapsed="false">
      <c r="A257" s="15" t="n">
        <v>256</v>
      </c>
      <c r="B257" s="18" t="n">
        <v>46161</v>
      </c>
      <c r="C257" s="16" t="s">
        <v>101</v>
      </c>
      <c r="D257" s="16" t="s">
        <v>102</v>
      </c>
      <c r="E257" s="16" t="n">
        <v>124</v>
      </c>
      <c r="F257" s="16" t="s">
        <v>109</v>
      </c>
      <c r="G257" s="16" t="s">
        <v>40</v>
      </c>
      <c r="H257" s="16" t="n">
        <v>120</v>
      </c>
      <c r="I257" s="19" t="n">
        <f aca="false">IFERROR(IF(D257="Sale",H257*VLOOKUP(G257,Product_Master!$A:$F,6,FALSE()),IF(D257="Purchase",H257*VLOOKUP(G257,Product_Master!$A:$F,5,FALSE()),0)),0)</f>
        <v>12240</v>
      </c>
    </row>
    <row r="258" customFormat="false" ht="14.25" hidden="false" customHeight="true" outlineLevel="0" collapsed="false">
      <c r="A258" s="15" t="n">
        <v>257</v>
      </c>
      <c r="B258" s="18" t="n">
        <v>46161</v>
      </c>
      <c r="C258" s="16" t="s">
        <v>101</v>
      </c>
      <c r="D258" s="16" t="s">
        <v>102</v>
      </c>
      <c r="E258" s="16" t="n">
        <v>124</v>
      </c>
      <c r="F258" s="16" t="s">
        <v>109</v>
      </c>
      <c r="G258" s="16" t="s">
        <v>41</v>
      </c>
      <c r="H258" s="16" t="n">
        <v>120</v>
      </c>
      <c r="I258" s="19" t="n">
        <f aca="false">IFERROR(IF(D258="Sale",H258*VLOOKUP(G258,Product_Master!$A:$F,6,FALSE()),IF(D258="Purchase",H258*VLOOKUP(G258,Product_Master!$A:$F,5,FALSE()),0)),0)</f>
        <v>13320</v>
      </c>
    </row>
    <row r="259" customFormat="false" ht="14.25" hidden="false" customHeight="true" outlineLevel="0" collapsed="false">
      <c r="A259" s="15" t="n">
        <v>258</v>
      </c>
      <c r="B259" s="18" t="n">
        <v>46161</v>
      </c>
      <c r="C259" s="16" t="s">
        <v>101</v>
      </c>
      <c r="D259" s="16" t="s">
        <v>102</v>
      </c>
      <c r="E259" s="16" t="n">
        <v>124</v>
      </c>
      <c r="F259" s="16" t="s">
        <v>109</v>
      </c>
      <c r="G259" s="16" t="s">
        <v>43</v>
      </c>
      <c r="H259" s="16" t="n">
        <v>120</v>
      </c>
      <c r="I259" s="19" t="n">
        <f aca="false">IFERROR(IF(D259="Sale",H259*VLOOKUP(G259,Product_Master!$A:$F,6,FALSE()),IF(D259="Purchase",H259*VLOOKUP(G259,Product_Master!$A:$F,5,FALSE()),0)),0)</f>
        <v>19200</v>
      </c>
    </row>
    <row r="260" customFormat="false" ht="14.25" hidden="false" customHeight="true" outlineLevel="0" collapsed="false">
      <c r="A260" s="15" t="n">
        <v>259</v>
      </c>
      <c r="B260" s="18" t="n">
        <v>46161</v>
      </c>
      <c r="C260" s="16" t="s">
        <v>101</v>
      </c>
      <c r="D260" s="16" t="s">
        <v>102</v>
      </c>
      <c r="E260" s="16" t="n">
        <v>124</v>
      </c>
      <c r="F260" s="16" t="s">
        <v>109</v>
      </c>
      <c r="G260" s="16" t="s">
        <v>44</v>
      </c>
      <c r="H260" s="16" t="n">
        <v>120</v>
      </c>
      <c r="I260" s="19" t="n">
        <f aca="false">IFERROR(IF(D260="Sale",H260*VLOOKUP(G260,Product_Master!$A:$F,6,FALSE()),IF(D260="Purchase",H260*VLOOKUP(G260,Product_Master!$A:$F,5,FALSE()),0)),0)</f>
        <v>16200</v>
      </c>
    </row>
    <row r="261" customFormat="false" ht="14.25" hidden="false" customHeight="true" outlineLevel="0" collapsed="false">
      <c r="A261" s="15" t="n">
        <v>260</v>
      </c>
      <c r="B261" s="18" t="n">
        <v>46161</v>
      </c>
      <c r="C261" s="16" t="s">
        <v>101</v>
      </c>
      <c r="D261" s="16" t="s">
        <v>102</v>
      </c>
      <c r="E261" s="16" t="n">
        <v>125</v>
      </c>
      <c r="F261" s="16" t="s">
        <v>126</v>
      </c>
      <c r="G261" s="16" t="s">
        <v>61</v>
      </c>
      <c r="H261" s="16" t="n">
        <v>30</v>
      </c>
      <c r="I261" s="19" t="n">
        <f aca="false">IFERROR(IF(D261="Sale",H261*VLOOKUP(G261,Product_Master!$A:$F,6,FALSE()),IF(D261="Purchase",H261*VLOOKUP(G261,Product_Master!$A:$F,5,FALSE()),0)),0)</f>
        <v>6870</v>
      </c>
    </row>
    <row r="262" customFormat="false" ht="14.25" hidden="false" customHeight="true" outlineLevel="0" collapsed="false">
      <c r="A262" s="15" t="n">
        <v>261</v>
      </c>
      <c r="B262" s="18" t="n">
        <v>46161</v>
      </c>
      <c r="C262" s="16" t="s">
        <v>101</v>
      </c>
      <c r="D262" s="16" t="s">
        <v>102</v>
      </c>
      <c r="E262" s="16" t="n">
        <v>126</v>
      </c>
      <c r="F262" s="16" t="s">
        <v>118</v>
      </c>
      <c r="G262" s="16" t="s">
        <v>50</v>
      </c>
      <c r="H262" s="16" t="n">
        <v>200</v>
      </c>
      <c r="I262" s="19" t="n">
        <f aca="false">IFERROR(IF(D262="Sale",H262*VLOOKUP(G262,Product_Master!$A:$F,6,FALSE()),IF(D262="Purchase",H262*VLOOKUP(G262,Product_Master!$A:$F,5,FALSE()),0)),0)</f>
        <v>45000</v>
      </c>
    </row>
    <row r="263" customFormat="false" ht="14.25" hidden="false" customHeight="true" outlineLevel="0" collapsed="false">
      <c r="A263" s="15" t="n">
        <v>262</v>
      </c>
      <c r="B263" s="18" t="n">
        <v>46161</v>
      </c>
      <c r="C263" s="16" t="s">
        <v>101</v>
      </c>
      <c r="D263" s="16" t="s">
        <v>102</v>
      </c>
      <c r="E263" s="16" t="n">
        <v>127</v>
      </c>
      <c r="F263" s="16" t="s">
        <v>131</v>
      </c>
      <c r="G263" s="16" t="s">
        <v>55</v>
      </c>
      <c r="H263" s="16" t="n">
        <v>50</v>
      </c>
      <c r="I263" s="19" t="n">
        <f aca="false">IFERROR(IF(D263="Sale",H263*VLOOKUP(G263,Product_Master!$A:$F,6,FALSE()),IF(D263="Purchase",H263*VLOOKUP(G263,Product_Master!$A:$F,5,FALSE()),0)),0)</f>
        <v>9000</v>
      </c>
    </row>
    <row r="264" customFormat="false" ht="14.25" hidden="false" customHeight="true" outlineLevel="0" collapsed="false">
      <c r="A264" s="15" t="n">
        <v>263</v>
      </c>
      <c r="B264" s="18" t="n">
        <v>46161</v>
      </c>
      <c r="C264" s="16" t="s">
        <v>101</v>
      </c>
      <c r="D264" s="16" t="s">
        <v>102</v>
      </c>
      <c r="E264" s="16" t="n">
        <v>128</v>
      </c>
      <c r="F264" s="16" t="s">
        <v>172</v>
      </c>
      <c r="G264" s="16" t="s">
        <v>40</v>
      </c>
      <c r="H264" s="16" t="n">
        <v>600</v>
      </c>
      <c r="I264" s="19" t="n">
        <f aca="false">IFERROR(IF(D264="Sale",H264*VLOOKUP(G264,Product_Master!$A:$F,6,FALSE()),IF(D264="Purchase",H264*VLOOKUP(G264,Product_Master!$A:$F,5,FALSE()),0)),0)</f>
        <v>61200</v>
      </c>
    </row>
    <row r="265" customFormat="false" ht="14.25" hidden="false" customHeight="true" outlineLevel="0" collapsed="false">
      <c r="A265" s="15" t="n">
        <v>264</v>
      </c>
      <c r="B265" s="18" t="n">
        <v>46161</v>
      </c>
      <c r="C265" s="16" t="s">
        <v>101</v>
      </c>
      <c r="D265" s="16" t="s">
        <v>102</v>
      </c>
      <c r="E265" s="16" t="n">
        <v>128</v>
      </c>
      <c r="F265" s="16" t="s">
        <v>172</v>
      </c>
      <c r="G265" s="16" t="s">
        <v>50</v>
      </c>
      <c r="H265" s="16" t="n">
        <v>125</v>
      </c>
      <c r="I265" s="19" t="n">
        <f aca="false">IFERROR(IF(D265="Sale",H265*VLOOKUP(G265,Product_Master!$A:$F,6,FALSE()),IF(D265="Purchase",H265*VLOOKUP(G265,Product_Master!$A:$F,5,FALSE()),0)),0)</f>
        <v>28125</v>
      </c>
    </row>
    <row r="266" customFormat="false" ht="14.25" hidden="false" customHeight="true" outlineLevel="0" collapsed="false">
      <c r="A266" s="15" t="n">
        <v>265</v>
      </c>
      <c r="B266" s="18" t="n">
        <v>46161</v>
      </c>
      <c r="C266" s="16" t="s">
        <v>101</v>
      </c>
      <c r="D266" s="16" t="s">
        <v>102</v>
      </c>
      <c r="E266" s="16" t="n">
        <v>129</v>
      </c>
      <c r="F266" s="16" t="s">
        <v>121</v>
      </c>
      <c r="G266" s="16" t="s">
        <v>41</v>
      </c>
      <c r="H266" s="16" t="n">
        <v>120</v>
      </c>
      <c r="I266" s="19" t="n">
        <f aca="false">IFERROR(IF(D266="Sale",H266*VLOOKUP(G266,Product_Master!$A:$F,6,FALSE()),IF(D266="Purchase",H266*VLOOKUP(G266,Product_Master!$A:$F,5,FALSE()),0)),0)</f>
        <v>13320</v>
      </c>
    </row>
    <row r="267" customFormat="false" ht="14.25" hidden="false" customHeight="true" outlineLevel="0" collapsed="false">
      <c r="A267" s="15" t="n">
        <v>266</v>
      </c>
      <c r="B267" s="18" t="n">
        <v>46161</v>
      </c>
      <c r="C267" s="16" t="s">
        <v>101</v>
      </c>
      <c r="D267" s="16" t="s">
        <v>102</v>
      </c>
      <c r="E267" s="16" t="n">
        <v>129</v>
      </c>
      <c r="F267" s="16" t="s">
        <v>121</v>
      </c>
      <c r="G267" s="16" t="s">
        <v>54</v>
      </c>
      <c r="H267" s="16" t="n">
        <v>25</v>
      </c>
      <c r="I267" s="19" t="n">
        <f aca="false">IFERROR(IF(D267="Sale",H267*VLOOKUP(G267,Product_Master!$A:$F,6,FALSE()),IF(D267="Purchase",H267*VLOOKUP(G267,Product_Master!$A:$F,5,FALSE()),0)),0)</f>
        <v>3875</v>
      </c>
    </row>
    <row r="268" customFormat="false" ht="14.25" hidden="false" customHeight="true" outlineLevel="0" collapsed="false">
      <c r="A268" s="15" t="n">
        <v>267</v>
      </c>
      <c r="B268" s="18" t="n">
        <v>46162</v>
      </c>
      <c r="C268" s="16" t="s">
        <v>101</v>
      </c>
      <c r="D268" s="16" t="s">
        <v>102</v>
      </c>
      <c r="E268" s="16" t="n">
        <v>130</v>
      </c>
      <c r="F268" s="16" t="s">
        <v>113</v>
      </c>
      <c r="G268" s="16" t="s">
        <v>41</v>
      </c>
      <c r="H268" s="16" t="n">
        <v>120</v>
      </c>
      <c r="I268" s="19" t="n">
        <f aca="false">IFERROR(IF(D268="Sale",H268*VLOOKUP(G268,Product_Master!$A:$F,6,FALSE()),IF(D268="Purchase",H268*VLOOKUP(G268,Product_Master!$A:$F,5,FALSE()),0)),0)</f>
        <v>13320</v>
      </c>
    </row>
    <row r="269" customFormat="false" ht="14.25" hidden="false" customHeight="true" outlineLevel="0" collapsed="false">
      <c r="A269" s="15" t="n">
        <v>268</v>
      </c>
      <c r="B269" s="18" t="n">
        <v>46163</v>
      </c>
      <c r="C269" s="16" t="s">
        <v>101</v>
      </c>
      <c r="D269" s="16" t="s">
        <v>102</v>
      </c>
      <c r="E269" s="16" t="n">
        <v>101</v>
      </c>
      <c r="F269" s="16" t="s">
        <v>137</v>
      </c>
      <c r="G269" s="16" t="s">
        <v>51</v>
      </c>
      <c r="H269" s="16" t="n">
        <v>10</v>
      </c>
      <c r="I269" s="19" t="n">
        <f aca="false">IFERROR(IF(D269="Sale",H269*VLOOKUP(G269,Product_Master!$A:$F,6,FALSE()),IF(D269="Purchase",H269*VLOOKUP(G269,Product_Master!$A:$F,5,FALSE()),0)),0)</f>
        <v>2820</v>
      </c>
    </row>
    <row r="270" customFormat="false" ht="14.25" hidden="false" customHeight="true" outlineLevel="0" collapsed="false">
      <c r="A270" s="15" t="n">
        <v>269</v>
      </c>
      <c r="B270" s="18" t="n">
        <v>46163</v>
      </c>
      <c r="C270" s="16" t="s">
        <v>101</v>
      </c>
      <c r="D270" s="16" t="s">
        <v>102</v>
      </c>
      <c r="E270" s="16" t="n">
        <v>102</v>
      </c>
      <c r="F270" s="16" t="s">
        <v>131</v>
      </c>
      <c r="G270" s="16" t="s">
        <v>42</v>
      </c>
      <c r="H270" s="16" t="n">
        <v>10</v>
      </c>
      <c r="I270" s="19" t="n">
        <f aca="false">IFERROR(IF(D270="Sale",H270*VLOOKUP(G270,Product_Master!$A:$F,6,FALSE()),IF(D270="Purchase",H270*VLOOKUP(G270,Product_Master!$A:$F,5,FALSE()),0)),0)</f>
        <v>1120</v>
      </c>
    </row>
    <row r="271" customFormat="false" ht="14.25" hidden="false" customHeight="true" outlineLevel="0" collapsed="false">
      <c r="A271" s="15" t="n">
        <v>270</v>
      </c>
      <c r="B271" s="18" t="n">
        <v>46163</v>
      </c>
      <c r="C271" s="16" t="s">
        <v>101</v>
      </c>
      <c r="D271" s="16" t="s">
        <v>102</v>
      </c>
      <c r="E271" s="16" t="n">
        <v>103</v>
      </c>
      <c r="F271" s="16" t="s">
        <v>135</v>
      </c>
      <c r="G271" s="16" t="s">
        <v>49</v>
      </c>
      <c r="H271" s="16" t="n">
        <v>10</v>
      </c>
      <c r="I271" s="19" t="n">
        <f aca="false">IFERROR(IF(D271="Sale",H271*VLOOKUP(G271,Product_Master!$A:$F,6,FALSE()),IF(D271="Purchase",H271*VLOOKUP(G271,Product_Master!$A:$F,5,FALSE()),0)),0)</f>
        <v>1220</v>
      </c>
    </row>
    <row r="272" customFormat="false" ht="14.25" hidden="false" customHeight="true" outlineLevel="0" collapsed="false">
      <c r="A272" s="15" t="n">
        <v>271</v>
      </c>
      <c r="B272" s="18" t="n">
        <v>46163</v>
      </c>
      <c r="C272" s="16" t="s">
        <v>101</v>
      </c>
      <c r="D272" s="16" t="s">
        <v>102</v>
      </c>
      <c r="E272" s="16" t="n">
        <v>104</v>
      </c>
      <c r="F272" s="16" t="s">
        <v>165</v>
      </c>
      <c r="G272" s="16" t="s">
        <v>42</v>
      </c>
      <c r="H272" s="16" t="n">
        <v>15</v>
      </c>
      <c r="I272" s="19" t="n">
        <f aca="false">IFERROR(IF(D272="Sale",H272*VLOOKUP(G272,Product_Master!$A:$F,6,FALSE()),IF(D272="Purchase",H272*VLOOKUP(G272,Product_Master!$A:$F,5,FALSE()),0)),0)</f>
        <v>1680</v>
      </c>
    </row>
    <row r="273" customFormat="false" ht="14.25" hidden="false" customHeight="true" outlineLevel="0" collapsed="false">
      <c r="A273" s="15" t="n">
        <v>272</v>
      </c>
      <c r="B273" s="18" t="n">
        <v>46163</v>
      </c>
      <c r="C273" s="16" t="s">
        <v>101</v>
      </c>
      <c r="D273" s="16" t="s">
        <v>102</v>
      </c>
      <c r="E273" s="16" t="n">
        <v>131</v>
      </c>
      <c r="F273" s="16" t="s">
        <v>173</v>
      </c>
      <c r="G273" s="16" t="s">
        <v>39</v>
      </c>
      <c r="H273" s="16" t="n">
        <v>240</v>
      </c>
      <c r="I273" s="19" t="n">
        <f aca="false">IFERROR(IF(D273="Sale",H273*VLOOKUP(G273,Product_Master!$A:$F,6,FALSE()),IF(D273="Purchase",H273*VLOOKUP(G273,Product_Master!$A:$F,5,FALSE()),0)),0)</f>
        <v>25440</v>
      </c>
    </row>
    <row r="274" customFormat="false" ht="14.25" hidden="false" customHeight="true" outlineLevel="0" collapsed="false">
      <c r="A274" s="15" t="n">
        <v>273</v>
      </c>
      <c r="B274" s="18" t="n">
        <v>46163</v>
      </c>
      <c r="C274" s="16" t="s">
        <v>101</v>
      </c>
      <c r="D274" s="16" t="s">
        <v>102</v>
      </c>
      <c r="E274" s="16" t="n">
        <v>132</v>
      </c>
      <c r="F274" s="16" t="s">
        <v>145</v>
      </c>
      <c r="G274" s="16" t="s">
        <v>59</v>
      </c>
      <c r="H274" s="16" t="n">
        <v>100</v>
      </c>
      <c r="I274" s="19" t="n">
        <f aca="false">IFERROR(IF(D274="Sale",H274*VLOOKUP(G274,Product_Master!$A:$F,6,FALSE()),IF(D274="Purchase",H274*VLOOKUP(G274,Product_Master!$A:$F,5,FALSE()),0)),0)</f>
        <v>14800</v>
      </c>
    </row>
    <row r="275" customFormat="false" ht="14.25" hidden="false" customHeight="true" outlineLevel="0" collapsed="false">
      <c r="A275" s="15" t="n">
        <v>274</v>
      </c>
      <c r="B275" s="18" t="n">
        <v>46163</v>
      </c>
      <c r="C275" s="16" t="s">
        <v>101</v>
      </c>
      <c r="D275" s="16" t="s">
        <v>102</v>
      </c>
      <c r="E275" s="16" t="n">
        <v>133</v>
      </c>
      <c r="F275" s="16" t="s">
        <v>152</v>
      </c>
      <c r="G275" s="16" t="s">
        <v>38</v>
      </c>
      <c r="H275" s="16" t="n">
        <v>220</v>
      </c>
      <c r="I275" s="19" t="n">
        <f aca="false">IFERROR(IF(D275="Sale",H275*VLOOKUP(G275,Product_Master!$A:$F,6,FALSE()),IF(D275="Purchase",H275*VLOOKUP(G275,Product_Master!$A:$F,5,FALSE()),0)),0)</f>
        <v>20460</v>
      </c>
    </row>
    <row r="276" customFormat="false" ht="14.25" hidden="false" customHeight="true" outlineLevel="0" collapsed="false">
      <c r="A276" s="15" t="n">
        <v>275</v>
      </c>
      <c r="B276" s="18" t="n">
        <v>46164</v>
      </c>
      <c r="C276" s="16" t="s">
        <v>101</v>
      </c>
      <c r="D276" s="16" t="s">
        <v>102</v>
      </c>
      <c r="E276" s="16" t="n">
        <v>105</v>
      </c>
      <c r="F276" s="16" t="s">
        <v>110</v>
      </c>
      <c r="G276" s="16" t="s">
        <v>54</v>
      </c>
      <c r="H276" s="16" t="n">
        <v>50</v>
      </c>
      <c r="I276" s="19" t="n">
        <f aca="false">IFERROR(IF(D276="Sale",H276*VLOOKUP(G276,Product_Master!$A:$F,6,FALSE()),IF(D276="Purchase",H276*VLOOKUP(G276,Product_Master!$A:$F,5,FALSE()),0)),0)</f>
        <v>7750</v>
      </c>
    </row>
    <row r="277" customFormat="false" ht="14.25" hidden="false" customHeight="true" outlineLevel="0" collapsed="false">
      <c r="A277" s="15" t="n">
        <v>276</v>
      </c>
      <c r="B277" s="18" t="n">
        <v>46164</v>
      </c>
      <c r="C277" s="16" t="s">
        <v>101</v>
      </c>
      <c r="D277" s="16" t="s">
        <v>102</v>
      </c>
      <c r="E277" s="16" t="n">
        <v>106</v>
      </c>
      <c r="F277" s="16" t="s">
        <v>165</v>
      </c>
      <c r="G277" s="16" t="s">
        <v>51</v>
      </c>
      <c r="H277" s="16" t="n">
        <v>3</v>
      </c>
      <c r="I277" s="19" t="n">
        <f aca="false">IFERROR(IF(D277="Sale",H277*VLOOKUP(G277,Product_Master!$A:$F,6,FALSE()),IF(D277="Purchase",H277*VLOOKUP(G277,Product_Master!$A:$F,5,FALSE()),0)),0)</f>
        <v>846</v>
      </c>
    </row>
    <row r="278" customFormat="false" ht="14.25" hidden="false" customHeight="true" outlineLevel="0" collapsed="false">
      <c r="A278" s="15" t="n">
        <v>277</v>
      </c>
      <c r="B278" s="18" t="n">
        <v>46164</v>
      </c>
      <c r="C278" s="16" t="s">
        <v>101</v>
      </c>
      <c r="D278" s="16" t="s">
        <v>102</v>
      </c>
      <c r="E278" s="16" t="n">
        <v>134</v>
      </c>
      <c r="F278" s="16" t="s">
        <v>113</v>
      </c>
      <c r="G278" s="16" t="s">
        <v>44</v>
      </c>
      <c r="H278" s="16" t="n">
        <v>240</v>
      </c>
      <c r="I278" s="19" t="n">
        <f aca="false">IFERROR(IF(D278="Sale",H278*VLOOKUP(G278,Product_Master!$A:$F,6,FALSE()),IF(D278="Purchase",H278*VLOOKUP(G278,Product_Master!$A:$F,5,FALSE()),0)),0)</f>
        <v>32400</v>
      </c>
    </row>
    <row r="279" customFormat="false" ht="14.25" hidden="false" customHeight="true" outlineLevel="0" collapsed="false">
      <c r="A279" s="15" t="n">
        <v>278</v>
      </c>
      <c r="B279" s="18" t="n">
        <v>46164</v>
      </c>
      <c r="C279" s="16" t="s">
        <v>101</v>
      </c>
      <c r="D279" s="16" t="s">
        <v>102</v>
      </c>
      <c r="E279" s="16" t="n">
        <v>135</v>
      </c>
      <c r="F279" s="16" t="s">
        <v>109</v>
      </c>
      <c r="G279" s="16" t="s">
        <v>40</v>
      </c>
      <c r="H279" s="16" t="n">
        <v>120</v>
      </c>
      <c r="I279" s="19" t="n">
        <f aca="false">IFERROR(IF(D279="Sale",H279*VLOOKUP(G279,Product_Master!$A:$F,6,FALSE()),IF(D279="Purchase",H279*VLOOKUP(G279,Product_Master!$A:$F,5,FALSE()),0)),0)</f>
        <v>12240</v>
      </c>
    </row>
    <row r="280" customFormat="false" ht="14.25" hidden="false" customHeight="true" outlineLevel="0" collapsed="false">
      <c r="A280" s="15" t="n">
        <v>279</v>
      </c>
      <c r="B280" s="18" t="n">
        <v>46164</v>
      </c>
      <c r="C280" s="16" t="s">
        <v>101</v>
      </c>
      <c r="D280" s="16" t="s">
        <v>102</v>
      </c>
      <c r="E280" s="16" t="n">
        <v>135</v>
      </c>
      <c r="F280" s="16" t="s">
        <v>109</v>
      </c>
      <c r="G280" s="16" t="s">
        <v>41</v>
      </c>
      <c r="H280" s="16" t="n">
        <v>120</v>
      </c>
      <c r="I280" s="19" t="n">
        <f aca="false">IFERROR(IF(D280="Sale",H280*VLOOKUP(G280,Product_Master!$A:$F,6,FALSE()),IF(D280="Purchase",H280*VLOOKUP(G280,Product_Master!$A:$F,5,FALSE()),0)),0)</f>
        <v>13320</v>
      </c>
    </row>
    <row r="281" customFormat="false" ht="14.25" hidden="false" customHeight="true" outlineLevel="0" collapsed="false">
      <c r="A281" s="15" t="n">
        <v>280</v>
      </c>
      <c r="B281" s="18" t="n">
        <v>46164</v>
      </c>
      <c r="C281" s="16" t="s">
        <v>101</v>
      </c>
      <c r="D281" s="16" t="s">
        <v>102</v>
      </c>
      <c r="E281" s="16" t="n">
        <v>135</v>
      </c>
      <c r="F281" s="16" t="s">
        <v>109</v>
      </c>
      <c r="G281" s="16" t="s">
        <v>43</v>
      </c>
      <c r="H281" s="16" t="n">
        <v>120</v>
      </c>
      <c r="I281" s="19" t="n">
        <f aca="false">IFERROR(IF(D281="Sale",H281*VLOOKUP(G281,Product_Master!$A:$F,6,FALSE()),IF(D281="Purchase",H281*VLOOKUP(G281,Product_Master!$A:$F,5,FALSE()),0)),0)</f>
        <v>19200</v>
      </c>
    </row>
    <row r="282" customFormat="false" ht="14.25" hidden="false" customHeight="true" outlineLevel="0" collapsed="false">
      <c r="A282" s="15" t="n">
        <v>281</v>
      </c>
      <c r="B282" s="18" t="n">
        <v>46164</v>
      </c>
      <c r="C282" s="16" t="s">
        <v>101</v>
      </c>
      <c r="D282" s="16" t="s">
        <v>102</v>
      </c>
      <c r="E282" s="16" t="n">
        <v>135</v>
      </c>
      <c r="F282" s="16" t="s">
        <v>109</v>
      </c>
      <c r="G282" s="16" t="s">
        <v>44</v>
      </c>
      <c r="H282" s="16" t="n">
        <v>120</v>
      </c>
      <c r="I282" s="19" t="n">
        <f aca="false">IFERROR(IF(D282="Sale",H282*VLOOKUP(G282,Product_Master!$A:$F,6,FALSE()),IF(D282="Purchase",H282*VLOOKUP(G282,Product_Master!$A:$F,5,FALSE()),0)),0)</f>
        <v>16200</v>
      </c>
    </row>
    <row r="283" customFormat="false" ht="14.25" hidden="false" customHeight="true" outlineLevel="0" collapsed="false">
      <c r="A283" s="15" t="n">
        <v>282</v>
      </c>
      <c r="B283" s="18" t="n">
        <v>46164</v>
      </c>
      <c r="C283" s="16" t="s">
        <v>101</v>
      </c>
      <c r="D283" s="16" t="s">
        <v>102</v>
      </c>
      <c r="E283" s="16" t="n">
        <v>136</v>
      </c>
      <c r="F283" s="16" t="s">
        <v>152</v>
      </c>
      <c r="G283" s="16" t="s">
        <v>53</v>
      </c>
      <c r="H283" s="16" t="n">
        <v>250</v>
      </c>
      <c r="I283" s="19" t="n">
        <f aca="false">IFERROR(IF(D283="Sale",H283*VLOOKUP(G283,Product_Master!$A:$F,6,FALSE()),IF(D283="Purchase",H283*VLOOKUP(G283,Product_Master!$A:$F,5,FALSE()),0)),0)</f>
        <v>21250</v>
      </c>
    </row>
    <row r="284" customFormat="false" ht="14.25" hidden="true" customHeight="true" outlineLevel="0" collapsed="false">
      <c r="A284" s="15" t="n">
        <v>283</v>
      </c>
      <c r="B284" s="18" t="n">
        <v>46167</v>
      </c>
      <c r="C284" s="16" t="s">
        <v>101</v>
      </c>
      <c r="D284" s="16" t="s">
        <v>111</v>
      </c>
      <c r="E284" s="16"/>
      <c r="F284" s="16" t="s">
        <v>174</v>
      </c>
      <c r="G284" s="16" t="s">
        <v>42</v>
      </c>
      <c r="H284" s="16" t="n">
        <v>600</v>
      </c>
      <c r="I284" s="19" t="n">
        <f aca="false">IFERROR(IF(D284="Sale",H284*VLOOKUP(G284,Product_Master!$A:$F,6,FALSE()),IF(D284="Purchase",H284*VLOOKUP(G284,Product_Master!$A:$F,5,FALSE()),0)),0)</f>
        <v>59400</v>
      </c>
    </row>
    <row r="285" customFormat="false" ht="14.25" hidden="false" customHeight="true" outlineLevel="0" collapsed="false">
      <c r="A285" s="15" t="n">
        <v>284</v>
      </c>
      <c r="B285" s="18" t="n">
        <v>46167</v>
      </c>
      <c r="C285" s="16" t="s">
        <v>101</v>
      </c>
      <c r="D285" s="16" t="s">
        <v>102</v>
      </c>
      <c r="E285" s="16" t="n">
        <v>107</v>
      </c>
      <c r="F285" s="16" t="s">
        <v>110</v>
      </c>
      <c r="G285" s="16" t="s">
        <v>54</v>
      </c>
      <c r="H285" s="16" t="n">
        <v>50</v>
      </c>
      <c r="I285" s="19" t="n">
        <f aca="false">IFERROR(IF(D285="Sale",H285*VLOOKUP(G285,Product_Master!$A:$F,6,FALSE()),IF(D285="Purchase",H285*VLOOKUP(G285,Product_Master!$A:$F,5,FALSE()),0)),0)</f>
        <v>7750</v>
      </c>
    </row>
    <row r="286" customFormat="false" ht="14.25" hidden="false" customHeight="true" outlineLevel="0" collapsed="false">
      <c r="A286" s="15" t="n">
        <v>285</v>
      </c>
      <c r="B286" s="18" t="n">
        <v>46167</v>
      </c>
      <c r="C286" s="16" t="s">
        <v>101</v>
      </c>
      <c r="D286" s="16" t="s">
        <v>102</v>
      </c>
      <c r="E286" s="16" t="n">
        <v>138</v>
      </c>
      <c r="F286" s="16" t="s">
        <v>141</v>
      </c>
      <c r="G286" s="16" t="s">
        <v>61</v>
      </c>
      <c r="H286" s="16" t="n">
        <v>60</v>
      </c>
      <c r="I286" s="19" t="n">
        <f aca="false">IFERROR(IF(D286="Sale",H286*VLOOKUP(G286,Product_Master!$A:$F,6,FALSE()),IF(D286="Purchase",H286*VLOOKUP(G286,Product_Master!$A:$F,5,FALSE()),0)),0)</f>
        <v>13740</v>
      </c>
    </row>
    <row r="287" customFormat="false" ht="14.25" hidden="false" customHeight="true" outlineLevel="0" collapsed="false">
      <c r="A287" s="15" t="n">
        <v>286</v>
      </c>
      <c r="B287" s="18" t="n">
        <v>46167</v>
      </c>
      <c r="C287" s="16" t="s">
        <v>101</v>
      </c>
      <c r="D287" s="16" t="s">
        <v>102</v>
      </c>
      <c r="E287" s="16" t="n">
        <v>139</v>
      </c>
      <c r="F287" s="16" t="s">
        <v>133</v>
      </c>
      <c r="G287" s="16" t="s">
        <v>53</v>
      </c>
      <c r="H287" s="16" t="n">
        <v>250</v>
      </c>
      <c r="I287" s="19" t="n">
        <f aca="false">IFERROR(IF(D287="Sale",H287*VLOOKUP(G287,Product_Master!$A:$F,6,FALSE()),IF(D287="Purchase",H287*VLOOKUP(G287,Product_Master!$A:$F,5,FALSE()),0)),0)</f>
        <v>21250</v>
      </c>
    </row>
    <row r="288" customFormat="false" ht="14.25" hidden="false" customHeight="true" outlineLevel="0" collapsed="false">
      <c r="A288" s="15" t="n">
        <v>287</v>
      </c>
      <c r="B288" s="18" t="n">
        <v>46167</v>
      </c>
      <c r="C288" s="16" t="s">
        <v>101</v>
      </c>
      <c r="D288" s="16" t="s">
        <v>102</v>
      </c>
      <c r="E288" s="16" t="n">
        <v>140</v>
      </c>
      <c r="F288" s="16" t="s">
        <v>125</v>
      </c>
      <c r="G288" s="16" t="s">
        <v>75</v>
      </c>
      <c r="H288" s="16" t="n">
        <v>2</v>
      </c>
      <c r="I288" s="19" t="n">
        <f aca="false">IFERROR(IF(D288="Sale",H288*VLOOKUP(G288,Product_Master!$A:$F,6,FALSE()),IF(D288="Purchase",H288*VLOOKUP(G288,Product_Master!$A:$F,5,FALSE()),0)),0)</f>
        <v>1800</v>
      </c>
    </row>
    <row r="289" customFormat="false" ht="14.25" hidden="false" customHeight="true" outlineLevel="0" collapsed="false">
      <c r="A289" s="15" t="n">
        <v>288</v>
      </c>
      <c r="B289" s="18" t="n">
        <v>46167</v>
      </c>
      <c r="C289" s="16" t="s">
        <v>101</v>
      </c>
      <c r="D289" s="16" t="s">
        <v>102</v>
      </c>
      <c r="E289" s="16" t="n">
        <v>141</v>
      </c>
      <c r="F289" s="16" t="s">
        <v>108</v>
      </c>
      <c r="G289" s="16" t="s">
        <v>42</v>
      </c>
      <c r="H289" s="16" t="n">
        <v>240</v>
      </c>
      <c r="I289" s="19" t="n">
        <f aca="false">IFERROR(IF(D289="Sale",H289*VLOOKUP(G289,Product_Master!$A:$F,6,FALSE()),IF(D289="Purchase",H289*VLOOKUP(G289,Product_Master!$A:$F,5,FALSE()),0)),0)</f>
        <v>26880</v>
      </c>
    </row>
    <row r="290" customFormat="false" ht="14.25" hidden="false" customHeight="true" outlineLevel="0" collapsed="false">
      <c r="A290" s="15" t="n">
        <v>289</v>
      </c>
      <c r="B290" s="18" t="n">
        <v>46167</v>
      </c>
      <c r="C290" s="16" t="s">
        <v>101</v>
      </c>
      <c r="D290" s="16" t="s">
        <v>102</v>
      </c>
      <c r="E290" s="16" t="n">
        <v>142</v>
      </c>
      <c r="F290" s="16" t="s">
        <v>175</v>
      </c>
      <c r="G290" s="16" t="s">
        <v>41</v>
      </c>
      <c r="H290" s="16" t="n">
        <v>240</v>
      </c>
      <c r="I290" s="19" t="n">
        <f aca="false">IFERROR(IF(D290="Sale",H290*VLOOKUP(G290,Product_Master!$A:$F,6,FALSE()),IF(D290="Purchase",H290*VLOOKUP(G290,Product_Master!$A:$F,5,FALSE()),0)),0)</f>
        <v>26640</v>
      </c>
    </row>
    <row r="291" customFormat="false" ht="14.25" hidden="false" customHeight="true" outlineLevel="0" collapsed="false">
      <c r="A291" s="15" t="n">
        <v>290</v>
      </c>
      <c r="B291" s="18" t="n">
        <v>46167</v>
      </c>
      <c r="C291" s="16" t="s">
        <v>101</v>
      </c>
      <c r="D291" s="16" t="s">
        <v>102</v>
      </c>
      <c r="E291" s="16" t="n">
        <v>142</v>
      </c>
      <c r="F291" s="16" t="s">
        <v>175</v>
      </c>
      <c r="G291" s="16" t="s">
        <v>42</v>
      </c>
      <c r="H291" s="16" t="n">
        <v>120</v>
      </c>
      <c r="I291" s="19" t="n">
        <f aca="false">IFERROR(IF(D291="Sale",H291*VLOOKUP(G291,Product_Master!$A:$F,6,FALSE()),IF(D291="Purchase",H291*VLOOKUP(G291,Product_Master!$A:$F,5,FALSE()),0)),0)</f>
        <v>13440</v>
      </c>
    </row>
    <row r="292" customFormat="false" ht="14.25" hidden="false" customHeight="true" outlineLevel="0" collapsed="false">
      <c r="A292" s="15" t="n">
        <v>291</v>
      </c>
      <c r="B292" s="18" t="n">
        <v>46167</v>
      </c>
      <c r="C292" s="16" t="s">
        <v>101</v>
      </c>
      <c r="D292" s="16" t="s">
        <v>102</v>
      </c>
      <c r="E292" s="16" t="n">
        <v>143</v>
      </c>
      <c r="F292" s="16" t="s">
        <v>113</v>
      </c>
      <c r="G292" s="16" t="s">
        <v>42</v>
      </c>
      <c r="H292" s="16" t="n">
        <v>120</v>
      </c>
      <c r="I292" s="19" t="n">
        <f aca="false">IFERROR(IF(D292="Sale",H292*VLOOKUP(G292,Product_Master!$A:$F,6,FALSE()),IF(D292="Purchase",H292*VLOOKUP(G292,Product_Master!$A:$F,5,FALSE()),0)),0)</f>
        <v>13440</v>
      </c>
    </row>
    <row r="293" customFormat="false" ht="14.25" hidden="false" customHeight="true" outlineLevel="0" collapsed="false">
      <c r="A293" s="15" t="n">
        <v>292</v>
      </c>
      <c r="B293" s="18" t="n">
        <v>46167</v>
      </c>
      <c r="C293" s="16" t="s">
        <v>101</v>
      </c>
      <c r="D293" s="16" t="s">
        <v>102</v>
      </c>
      <c r="E293" s="16" t="n">
        <v>144</v>
      </c>
      <c r="F293" s="16" t="s">
        <v>158</v>
      </c>
      <c r="G293" s="16" t="s">
        <v>60</v>
      </c>
      <c r="H293" s="16" t="n">
        <v>120</v>
      </c>
      <c r="I293" s="19" t="n">
        <f aca="false">IFERROR(IF(D293="Sale",H293*VLOOKUP(G293,Product_Master!$A:$F,6,FALSE()),IF(D293="Purchase",H293*VLOOKUP(G293,Product_Master!$A:$F,5,FALSE()),0)),0)</f>
        <v>23760</v>
      </c>
    </row>
    <row r="294" customFormat="false" ht="14.25" hidden="false" customHeight="true" outlineLevel="0" collapsed="false">
      <c r="A294" s="15" t="n">
        <v>293</v>
      </c>
      <c r="B294" s="18" t="n">
        <v>46167</v>
      </c>
      <c r="C294" s="16" t="s">
        <v>101</v>
      </c>
      <c r="D294" s="16" t="s">
        <v>102</v>
      </c>
      <c r="E294" s="16" t="n">
        <v>145</v>
      </c>
      <c r="F294" s="16" t="s">
        <v>109</v>
      </c>
      <c r="G294" s="16" t="s">
        <v>40</v>
      </c>
      <c r="H294" s="16" t="n">
        <v>120</v>
      </c>
      <c r="I294" s="19" t="n">
        <f aca="false">IFERROR(IF(D294="Sale",H294*VLOOKUP(G294,Product_Master!$A:$F,6,FALSE()),IF(D294="Purchase",H294*VLOOKUP(G294,Product_Master!$A:$F,5,FALSE()),0)),0)</f>
        <v>12240</v>
      </c>
    </row>
    <row r="295" customFormat="false" ht="14.25" hidden="false" customHeight="true" outlineLevel="0" collapsed="false">
      <c r="A295" s="15" t="n">
        <v>294</v>
      </c>
      <c r="B295" s="18" t="n">
        <v>46167</v>
      </c>
      <c r="C295" s="16" t="s">
        <v>101</v>
      </c>
      <c r="D295" s="16" t="s">
        <v>102</v>
      </c>
      <c r="E295" s="16" t="n">
        <v>145</v>
      </c>
      <c r="F295" s="16" t="s">
        <v>109</v>
      </c>
      <c r="G295" s="16" t="s">
        <v>41</v>
      </c>
      <c r="H295" s="16" t="n">
        <v>120</v>
      </c>
      <c r="I295" s="19" t="n">
        <f aca="false">IFERROR(IF(D295="Sale",H295*VLOOKUP(G295,Product_Master!$A:$F,6,FALSE()),IF(D295="Purchase",H295*VLOOKUP(G295,Product_Master!$A:$F,5,FALSE()),0)),0)</f>
        <v>13320</v>
      </c>
    </row>
    <row r="296" customFormat="false" ht="14.25" hidden="false" customHeight="true" outlineLevel="0" collapsed="false">
      <c r="A296" s="15" t="n">
        <v>295</v>
      </c>
      <c r="B296" s="18" t="n">
        <v>46167</v>
      </c>
      <c r="C296" s="16" t="s">
        <v>101</v>
      </c>
      <c r="D296" s="16" t="s">
        <v>102</v>
      </c>
      <c r="E296" s="16" t="n">
        <v>145</v>
      </c>
      <c r="F296" s="16" t="s">
        <v>109</v>
      </c>
      <c r="G296" s="16" t="s">
        <v>44</v>
      </c>
      <c r="H296" s="16" t="n">
        <v>120</v>
      </c>
      <c r="I296" s="19" t="n">
        <f aca="false">IFERROR(IF(D296="Sale",H296*VLOOKUP(G296,Product_Master!$A:$F,6,FALSE()),IF(D296="Purchase",H296*VLOOKUP(G296,Product_Master!$A:$F,5,FALSE()),0)),0)</f>
        <v>16200</v>
      </c>
    </row>
    <row r="297" customFormat="false" ht="14.25" hidden="false" customHeight="true" outlineLevel="0" collapsed="false">
      <c r="A297" s="15" t="n">
        <v>296</v>
      </c>
      <c r="B297" s="18" t="n">
        <v>46167</v>
      </c>
      <c r="C297" s="16" t="s">
        <v>101</v>
      </c>
      <c r="D297" s="16" t="s">
        <v>102</v>
      </c>
      <c r="E297" s="16" t="n">
        <v>146</v>
      </c>
      <c r="F297" s="16" t="s">
        <v>106</v>
      </c>
      <c r="G297" s="16" t="s">
        <v>40</v>
      </c>
      <c r="H297" s="16" t="n">
        <v>240</v>
      </c>
      <c r="I297" s="19" t="n">
        <f aca="false">IFERROR(IF(D297="Sale",H297*VLOOKUP(G297,Product_Master!$A:$F,6,FALSE()),IF(D297="Purchase",H297*VLOOKUP(G297,Product_Master!$A:$F,5,FALSE()),0)),0)</f>
        <v>24480</v>
      </c>
    </row>
    <row r="298" customFormat="false" ht="14.25" hidden="false" customHeight="true" outlineLevel="0" collapsed="false">
      <c r="A298" s="15" t="n">
        <v>297</v>
      </c>
      <c r="B298" s="18" t="n">
        <v>46167</v>
      </c>
      <c r="C298" s="16" t="s">
        <v>101</v>
      </c>
      <c r="D298" s="16" t="s">
        <v>102</v>
      </c>
      <c r="E298" s="16" t="n">
        <v>146</v>
      </c>
      <c r="F298" s="16" t="s">
        <v>106</v>
      </c>
      <c r="G298" s="16" t="s">
        <v>41</v>
      </c>
      <c r="H298" s="16" t="n">
        <v>120</v>
      </c>
      <c r="I298" s="19" t="n">
        <f aca="false">IFERROR(IF(D298="Sale",H298*VLOOKUP(G298,Product_Master!$A:$F,6,FALSE()),IF(D298="Purchase",H298*VLOOKUP(G298,Product_Master!$A:$F,5,FALSE()),0)),0)</f>
        <v>13320</v>
      </c>
    </row>
    <row r="299" customFormat="false" ht="14.25" hidden="false" customHeight="true" outlineLevel="0" collapsed="false">
      <c r="A299" s="15" t="n">
        <v>298</v>
      </c>
      <c r="B299" s="18" t="n">
        <v>46168</v>
      </c>
      <c r="C299" s="16" t="s">
        <v>101</v>
      </c>
      <c r="D299" s="16" t="s">
        <v>102</v>
      </c>
      <c r="E299" s="16" t="n">
        <v>108</v>
      </c>
      <c r="F299" s="16" t="s">
        <v>135</v>
      </c>
      <c r="G299" s="16" t="s">
        <v>49</v>
      </c>
      <c r="H299" s="16" t="n">
        <v>20</v>
      </c>
      <c r="I299" s="19" t="n">
        <f aca="false">IFERROR(IF(D299="Sale",H299*VLOOKUP(G299,Product_Master!$A:$F,6,FALSE()),IF(D299="Purchase",H299*VLOOKUP(G299,Product_Master!$A:$F,5,FALSE()),0)),0)</f>
        <v>2440</v>
      </c>
    </row>
    <row r="300" customFormat="false" ht="14.25" hidden="false" customHeight="true" outlineLevel="0" collapsed="false">
      <c r="A300" s="15" t="n">
        <v>299</v>
      </c>
      <c r="B300" s="18" t="n">
        <v>46168</v>
      </c>
      <c r="C300" s="16" t="s">
        <v>101</v>
      </c>
      <c r="D300" s="16" t="s">
        <v>102</v>
      </c>
      <c r="E300" s="16" t="n">
        <v>108</v>
      </c>
      <c r="F300" s="16" t="s">
        <v>135</v>
      </c>
      <c r="G300" s="16" t="s">
        <v>75</v>
      </c>
      <c r="H300" s="16" t="n">
        <v>1</v>
      </c>
      <c r="I300" s="19" t="n">
        <f aca="false">IFERROR(IF(D300="Sale",H300*VLOOKUP(G300,Product_Master!$A:$F,6,FALSE()),IF(D300="Purchase",H300*VLOOKUP(G300,Product_Master!$A:$F,5,FALSE()),0)),0)</f>
        <v>900</v>
      </c>
    </row>
    <row r="301" customFormat="false" ht="14.25" hidden="false" customHeight="true" outlineLevel="0" collapsed="false">
      <c r="A301" s="15" t="n">
        <v>300</v>
      </c>
      <c r="B301" s="18" t="n">
        <v>46168</v>
      </c>
      <c r="C301" s="16" t="s">
        <v>101</v>
      </c>
      <c r="D301" s="16" t="s">
        <v>102</v>
      </c>
      <c r="E301" s="16" t="n">
        <v>147</v>
      </c>
      <c r="F301" s="16" t="s">
        <v>134</v>
      </c>
      <c r="G301" s="16" t="s">
        <v>40</v>
      </c>
      <c r="H301" s="16" t="n">
        <v>120</v>
      </c>
      <c r="I301" s="19" t="n">
        <f aca="false">IFERROR(IF(D301="Sale",H301*VLOOKUP(G301,Product_Master!$A:$F,6,FALSE()),IF(D301="Purchase",H301*VLOOKUP(G301,Product_Master!$A:$F,5,FALSE()),0)),0)</f>
        <v>12240</v>
      </c>
    </row>
    <row r="302" customFormat="false" ht="14.25" hidden="false" customHeight="true" outlineLevel="0" collapsed="false">
      <c r="A302" s="15" t="n">
        <v>301</v>
      </c>
      <c r="B302" s="18" t="n">
        <v>46168</v>
      </c>
      <c r="C302" s="16" t="s">
        <v>101</v>
      </c>
      <c r="D302" s="16" t="s">
        <v>102</v>
      </c>
      <c r="E302" s="16" t="n">
        <v>147</v>
      </c>
      <c r="F302" s="16" t="s">
        <v>134</v>
      </c>
      <c r="G302" s="16" t="s">
        <v>41</v>
      </c>
      <c r="H302" s="16" t="n">
        <v>120</v>
      </c>
      <c r="I302" s="19" t="n">
        <f aca="false">IFERROR(IF(D302="Sale",H302*VLOOKUP(G302,Product_Master!$A:$F,6,FALSE()),IF(D302="Purchase",H302*VLOOKUP(G302,Product_Master!$A:$F,5,FALSE()),0)),0)</f>
        <v>13320</v>
      </c>
    </row>
    <row r="303" customFormat="false" ht="14.25" hidden="false" customHeight="true" outlineLevel="0" collapsed="false">
      <c r="A303" s="15" t="n">
        <v>302</v>
      </c>
      <c r="B303" s="18" t="n">
        <v>46168</v>
      </c>
      <c r="C303" s="16" t="s">
        <v>101</v>
      </c>
      <c r="D303" s="16" t="s">
        <v>102</v>
      </c>
      <c r="E303" s="16" t="n">
        <v>147</v>
      </c>
      <c r="F303" s="16" t="s">
        <v>134</v>
      </c>
      <c r="G303" s="16" t="s">
        <v>61</v>
      </c>
      <c r="H303" s="16" t="n">
        <v>30</v>
      </c>
      <c r="I303" s="19" t="n">
        <f aca="false">IFERROR(IF(D303="Sale",H303*VLOOKUP(G303,Product_Master!$A:$F,6,FALSE()),IF(D303="Purchase",H303*VLOOKUP(G303,Product_Master!$A:$F,5,FALSE()),0)),0)</f>
        <v>6870</v>
      </c>
    </row>
    <row r="304" customFormat="false" ht="14.25" hidden="false" customHeight="true" outlineLevel="0" collapsed="false">
      <c r="A304" s="15" t="n">
        <v>303</v>
      </c>
      <c r="B304" s="18" t="n">
        <v>46168</v>
      </c>
      <c r="C304" s="16" t="s">
        <v>101</v>
      </c>
      <c r="D304" s="16" t="s">
        <v>102</v>
      </c>
      <c r="E304" s="16" t="n">
        <v>148</v>
      </c>
      <c r="F304" s="16" t="s">
        <v>113</v>
      </c>
      <c r="G304" s="16" t="s">
        <v>42</v>
      </c>
      <c r="H304" s="16" t="n">
        <v>120</v>
      </c>
      <c r="I304" s="19" t="n">
        <f aca="false">IFERROR(IF(D304="Sale",H304*VLOOKUP(G304,Product_Master!$A:$F,6,FALSE()),IF(D304="Purchase",H304*VLOOKUP(G304,Product_Master!$A:$F,5,FALSE()),0)),0)</f>
        <v>13440</v>
      </c>
    </row>
    <row r="305" customFormat="false" ht="14.25" hidden="false" customHeight="true" outlineLevel="0" collapsed="false">
      <c r="A305" s="15" t="n">
        <v>304</v>
      </c>
      <c r="B305" s="18" t="n">
        <v>46169</v>
      </c>
      <c r="C305" s="16" t="s">
        <v>101</v>
      </c>
      <c r="D305" s="16" t="s">
        <v>102</v>
      </c>
      <c r="E305" s="16" t="n">
        <v>149</v>
      </c>
      <c r="F305" s="16" t="s">
        <v>166</v>
      </c>
      <c r="G305" s="16" t="s">
        <v>60</v>
      </c>
      <c r="H305" s="16" t="n">
        <v>120</v>
      </c>
      <c r="I305" s="19" t="n">
        <f aca="false">IFERROR(IF(D305="Sale",H305*VLOOKUP(G305,Product_Master!$A:$F,6,FALSE()),IF(D305="Purchase",H305*VLOOKUP(G305,Product_Master!$A:$F,5,FALSE()),0)),0)</f>
        <v>23760</v>
      </c>
    </row>
    <row r="306" customFormat="false" ht="14.25" hidden="true" customHeight="true" outlineLevel="0" collapsed="false">
      <c r="A306" s="15" t="n">
        <v>305</v>
      </c>
      <c r="B306" s="18" t="n">
        <v>46172</v>
      </c>
      <c r="C306" s="16" t="s">
        <v>101</v>
      </c>
      <c r="D306" s="16" t="s">
        <v>111</v>
      </c>
      <c r="E306" s="16"/>
      <c r="F306" s="16" t="s">
        <v>176</v>
      </c>
      <c r="G306" s="16" t="s">
        <v>58</v>
      </c>
      <c r="H306" s="16" t="n">
        <v>1000</v>
      </c>
      <c r="I306" s="19" t="n">
        <f aca="false">IFERROR(IF(D306="Sale",H306*VLOOKUP(G306,Product_Master!$A:$F,6,FALSE()),IF(D306="Purchase",H306*VLOOKUP(G306,Product_Master!$A:$F,5,FALSE()),0)),0)</f>
        <v>210000</v>
      </c>
    </row>
    <row r="307" customFormat="false" ht="14.25" hidden="true" customHeight="true" outlineLevel="0" collapsed="false">
      <c r="A307" s="15" t="n">
        <v>306</v>
      </c>
      <c r="B307" s="18" t="n">
        <v>46172</v>
      </c>
      <c r="C307" s="16" t="s">
        <v>101</v>
      </c>
      <c r="D307" s="16" t="s">
        <v>111</v>
      </c>
      <c r="E307" s="16"/>
      <c r="F307" s="16" t="s">
        <v>176</v>
      </c>
      <c r="G307" s="16" t="s">
        <v>61</v>
      </c>
      <c r="H307" s="16" t="n">
        <v>180</v>
      </c>
      <c r="I307" s="19" t="n">
        <f aca="false">IFERROR(IF(D307="Sale",H307*VLOOKUP(G307,Product_Master!$A:$F,6,FALSE()),IF(D307="Purchase",H307*VLOOKUP(G307,Product_Master!$A:$F,5,FALSE()),0)),0)</f>
        <v>26820</v>
      </c>
    </row>
    <row r="308" customFormat="false" ht="14.25" hidden="true" customHeight="true" outlineLevel="0" collapsed="false">
      <c r="A308" s="15" t="n">
        <v>307</v>
      </c>
      <c r="B308" s="18" t="n">
        <v>46172</v>
      </c>
      <c r="C308" s="16" t="s">
        <v>101</v>
      </c>
      <c r="D308" s="16" t="s">
        <v>111</v>
      </c>
      <c r="E308" s="16"/>
      <c r="F308" s="16" t="s">
        <v>176</v>
      </c>
      <c r="G308" s="16" t="s">
        <v>70</v>
      </c>
      <c r="H308" s="16" t="n">
        <v>360</v>
      </c>
      <c r="I308" s="19" t="n">
        <f aca="false">IFERROR(IF(D308="Sale",H308*VLOOKUP(G308,Product_Master!$A:$F,6,FALSE()),IF(D308="Purchase",H308*VLOOKUP(G308,Product_Master!$A:$F,5,FALSE()),0)),0)</f>
        <v>136800</v>
      </c>
    </row>
    <row r="309" customFormat="false" ht="14.25" hidden="true" customHeight="true" outlineLevel="0" collapsed="false">
      <c r="A309" s="15" t="n">
        <v>308</v>
      </c>
      <c r="B309" s="18" t="n">
        <v>46172</v>
      </c>
      <c r="C309" s="16" t="s">
        <v>101</v>
      </c>
      <c r="D309" s="16" t="s">
        <v>111</v>
      </c>
      <c r="E309" s="16"/>
      <c r="F309" s="16" t="s">
        <v>177</v>
      </c>
      <c r="G309" s="16" t="s">
        <v>39</v>
      </c>
      <c r="H309" s="16" t="n">
        <v>2400</v>
      </c>
      <c r="I309" s="19" t="n">
        <f aca="false">IFERROR(IF(D309="Sale",H309*VLOOKUP(G309,Product_Master!$A:$F,6,FALSE()),IF(D309="Purchase",H309*VLOOKUP(G309,Product_Master!$A:$F,5,FALSE()),0)),0)</f>
        <v>230400</v>
      </c>
    </row>
    <row r="310" customFormat="false" ht="14.25" hidden="true" customHeight="true" outlineLevel="0" collapsed="false">
      <c r="A310" s="15" t="n">
        <v>309</v>
      </c>
      <c r="B310" s="18" t="n">
        <v>46172</v>
      </c>
      <c r="C310" s="16" t="s">
        <v>101</v>
      </c>
      <c r="D310" s="16" t="s">
        <v>111</v>
      </c>
      <c r="E310" s="16"/>
      <c r="F310" s="16" t="s">
        <v>177</v>
      </c>
      <c r="G310" s="16" t="s">
        <v>40</v>
      </c>
      <c r="H310" s="16" t="n">
        <v>4200</v>
      </c>
      <c r="I310" s="19" t="n">
        <f aca="false">IFERROR(IF(D310="Sale",H310*VLOOKUP(G310,Product_Master!$A:$F,6,FALSE()),IF(D310="Purchase",H310*VLOOKUP(G310,Product_Master!$A:$F,5,FALSE()),0)),0)</f>
        <v>394800</v>
      </c>
    </row>
    <row r="311" customFormat="false" ht="14.25" hidden="true" customHeight="true" outlineLevel="0" collapsed="false">
      <c r="A311" s="15" t="n">
        <v>310</v>
      </c>
      <c r="B311" s="18" t="n">
        <v>46172</v>
      </c>
      <c r="C311" s="16" t="s">
        <v>101</v>
      </c>
      <c r="D311" s="16" t="s">
        <v>111</v>
      </c>
      <c r="E311" s="16"/>
      <c r="F311" s="16" t="s">
        <v>177</v>
      </c>
      <c r="G311" s="16" t="s">
        <v>41</v>
      </c>
      <c r="H311" s="16" t="n">
        <v>4200</v>
      </c>
      <c r="I311" s="19" t="n">
        <f aca="false">IFERROR(IF(D311="Sale",H311*VLOOKUP(G311,Product_Master!$A:$F,6,FALSE()),IF(D311="Purchase",H311*VLOOKUP(G311,Product_Master!$A:$F,5,FALSE()),0)),0)</f>
        <v>407400</v>
      </c>
    </row>
    <row r="312" customFormat="false" ht="14.25" hidden="true" customHeight="true" outlineLevel="0" collapsed="false">
      <c r="A312" s="15" t="n">
        <v>311</v>
      </c>
      <c r="B312" s="18" t="n">
        <v>46172</v>
      </c>
      <c r="C312" s="16" t="s">
        <v>101</v>
      </c>
      <c r="D312" s="16" t="s">
        <v>111</v>
      </c>
      <c r="E312" s="16"/>
      <c r="F312" s="16" t="s">
        <v>177</v>
      </c>
      <c r="G312" s="16" t="s">
        <v>42</v>
      </c>
      <c r="H312" s="16" t="n">
        <v>5400</v>
      </c>
      <c r="I312" s="19" t="n">
        <f aca="false">IFERROR(IF(D312="Sale",H312*VLOOKUP(G312,Product_Master!$A:$F,6,FALSE()),IF(D312="Purchase",H312*VLOOKUP(G312,Product_Master!$A:$F,5,FALSE()),0)),0)</f>
        <v>534600</v>
      </c>
    </row>
    <row r="313" customFormat="false" ht="14.25" hidden="true" customHeight="true" outlineLevel="0" collapsed="false">
      <c r="A313" s="15" t="n">
        <v>312</v>
      </c>
      <c r="B313" s="18" t="n">
        <v>46172</v>
      </c>
      <c r="C313" s="16" t="s">
        <v>101</v>
      </c>
      <c r="D313" s="16" t="s">
        <v>111</v>
      </c>
      <c r="E313" s="16"/>
      <c r="F313" s="16" t="s">
        <v>177</v>
      </c>
      <c r="G313" s="16" t="s">
        <v>43</v>
      </c>
      <c r="H313" s="16" t="n">
        <v>1200</v>
      </c>
      <c r="I313" s="19" t="n">
        <f aca="false">IFERROR(IF(D313="Sale",H313*VLOOKUP(G313,Product_Master!$A:$F,6,FALSE()),IF(D313="Purchase",H313*VLOOKUP(G313,Product_Master!$A:$F,5,FALSE()),0)),0)</f>
        <v>162000</v>
      </c>
    </row>
    <row r="314" customFormat="false" ht="14.25" hidden="true" customHeight="true" outlineLevel="0" collapsed="false">
      <c r="A314" s="15" t="n">
        <v>313</v>
      </c>
      <c r="B314" s="18" t="n">
        <v>46172</v>
      </c>
      <c r="C314" s="16" t="s">
        <v>101</v>
      </c>
      <c r="D314" s="16" t="s">
        <v>111</v>
      </c>
      <c r="E314" s="16"/>
      <c r="F314" s="16" t="s">
        <v>177</v>
      </c>
      <c r="G314" s="16" t="s">
        <v>53</v>
      </c>
      <c r="H314" s="16" t="n">
        <v>3000</v>
      </c>
      <c r="I314" s="19" t="n">
        <f aca="false">IFERROR(IF(D314="Sale",H314*VLOOKUP(G314,Product_Master!$A:$F,6,FALSE()),IF(D314="Purchase",H314*VLOOKUP(G314,Product_Master!$A:$F,5,FALSE()),0)),0)</f>
        <v>186000</v>
      </c>
    </row>
    <row r="315" customFormat="false" ht="14.25" hidden="true" customHeight="true" outlineLevel="0" collapsed="false">
      <c r="A315" s="15" t="n">
        <v>314</v>
      </c>
      <c r="B315" s="18" t="n">
        <v>46172</v>
      </c>
      <c r="C315" s="16" t="s">
        <v>101</v>
      </c>
      <c r="D315" s="16" t="s">
        <v>111</v>
      </c>
      <c r="E315" s="16"/>
      <c r="F315" s="16" t="s">
        <v>177</v>
      </c>
      <c r="G315" s="16" t="s">
        <v>75</v>
      </c>
      <c r="H315" s="16" t="n">
        <v>40</v>
      </c>
      <c r="I315" s="19" t="n">
        <f aca="false">IFERROR(IF(D315="Sale",H315*VLOOKUP(G315,Product_Master!$A:$F,6,FALSE()),IF(D315="Purchase",H315*VLOOKUP(G315,Product_Master!$A:$F,5,FALSE()),0)),0)</f>
        <v>24000</v>
      </c>
    </row>
    <row r="316" customFormat="false" ht="14.25" hidden="true" customHeight="true" outlineLevel="0" collapsed="false">
      <c r="A316" s="15" t="n">
        <v>315</v>
      </c>
      <c r="B316" s="18" t="n">
        <v>46172</v>
      </c>
      <c r="C316" s="16" t="s">
        <v>101</v>
      </c>
      <c r="D316" s="16" t="s">
        <v>111</v>
      </c>
      <c r="E316" s="16"/>
      <c r="F316" s="16" t="s">
        <v>177</v>
      </c>
      <c r="G316" s="16" t="s">
        <v>76</v>
      </c>
      <c r="H316" s="16" t="n">
        <v>100</v>
      </c>
      <c r="I316" s="19" t="n">
        <f aca="false">IFERROR(IF(D316="Sale",H316*VLOOKUP(G316,Product_Master!$A:$F,6,FALSE()),IF(D316="Purchase",H316*VLOOKUP(G316,Product_Master!$A:$F,5,FALSE()),0)),0)</f>
        <v>13000</v>
      </c>
    </row>
    <row r="317" customFormat="false" ht="14.25" hidden="true" customHeight="true" outlineLevel="0" collapsed="false">
      <c r="A317" s="15" t="n">
        <v>316</v>
      </c>
      <c r="B317" s="18" t="n">
        <v>46172</v>
      </c>
      <c r="C317" s="16" t="s">
        <v>101</v>
      </c>
      <c r="D317" s="16" t="s">
        <v>111</v>
      </c>
      <c r="E317" s="16"/>
      <c r="F317" s="16" t="s">
        <v>177</v>
      </c>
      <c r="G317" s="16" t="s">
        <v>80</v>
      </c>
      <c r="H317" s="16" t="n">
        <v>240</v>
      </c>
      <c r="I317" s="19" t="n">
        <f aca="false">IFERROR(IF(D317="Sale",H317*VLOOKUP(G317,Product_Master!$A:$F,6,FALSE()),IF(D317="Purchase",H317*VLOOKUP(G317,Product_Master!$A:$F,5,FALSE()),0)),0)</f>
        <v>39600</v>
      </c>
    </row>
    <row r="318" customFormat="false" ht="14.25" hidden="false" customHeight="true" outlineLevel="0" collapsed="false">
      <c r="A318" s="15" t="n">
        <v>317</v>
      </c>
      <c r="B318" s="18" t="n">
        <v>46172</v>
      </c>
      <c r="C318" s="16" t="s">
        <v>101</v>
      </c>
      <c r="D318" s="16" t="s">
        <v>102</v>
      </c>
      <c r="E318" s="16" t="n">
        <v>109</v>
      </c>
      <c r="F318" s="16" t="s">
        <v>135</v>
      </c>
      <c r="G318" s="16" t="s">
        <v>49</v>
      </c>
      <c r="H318" s="16" t="n">
        <v>15</v>
      </c>
      <c r="I318" s="19" t="n">
        <f aca="false">IFERROR(IF(D318="Sale",H318*VLOOKUP(G318,Product_Master!$A:$F,6,FALSE()),IF(D318="Purchase",H318*VLOOKUP(G318,Product_Master!$A:$F,5,FALSE()),0)),0)</f>
        <v>1830</v>
      </c>
    </row>
    <row r="319" customFormat="false" ht="14.25" hidden="false" customHeight="true" outlineLevel="0" collapsed="false">
      <c r="A319" s="15" t="n">
        <v>318</v>
      </c>
      <c r="B319" s="18" t="n">
        <v>46172</v>
      </c>
      <c r="C319" s="16" t="s">
        <v>101</v>
      </c>
      <c r="D319" s="16" t="s">
        <v>102</v>
      </c>
      <c r="E319" s="16" t="n">
        <v>109</v>
      </c>
      <c r="F319" s="16" t="s">
        <v>135</v>
      </c>
      <c r="G319" s="16" t="s">
        <v>75</v>
      </c>
      <c r="H319" s="16" t="n">
        <v>1</v>
      </c>
      <c r="I319" s="19" t="n">
        <f aca="false">IFERROR(IF(D319="Sale",H319*VLOOKUP(G319,Product_Master!$A:$F,6,FALSE()),IF(D319="Purchase",H319*VLOOKUP(G319,Product_Master!$A:$F,5,FALSE()),0)),0)</f>
        <v>900</v>
      </c>
    </row>
    <row r="320" customFormat="false" ht="14.25" hidden="false" customHeight="true" outlineLevel="0" collapsed="false">
      <c r="A320" s="15" t="n">
        <v>319</v>
      </c>
      <c r="B320" s="18" t="n">
        <v>46172</v>
      </c>
      <c r="C320" s="16" t="s">
        <v>101</v>
      </c>
      <c r="D320" s="16" t="s">
        <v>102</v>
      </c>
      <c r="E320" s="16" t="n">
        <v>150</v>
      </c>
      <c r="F320" s="16" t="s">
        <v>145</v>
      </c>
      <c r="G320" s="16" t="s">
        <v>51</v>
      </c>
      <c r="H320" s="16" t="n">
        <v>60</v>
      </c>
      <c r="I320" s="19" t="n">
        <f aca="false">IFERROR(IF(D320="Sale",H320*VLOOKUP(G320,Product_Master!$A:$F,6,FALSE()),IF(D320="Purchase",H320*VLOOKUP(G320,Product_Master!$A:$F,5,FALSE()),0)),0)</f>
        <v>16920</v>
      </c>
    </row>
    <row r="321" customFormat="false" ht="14.25" hidden="false" customHeight="true" outlineLevel="0" collapsed="false">
      <c r="A321" s="15" t="n">
        <v>320</v>
      </c>
      <c r="B321" s="18" t="n">
        <v>46172</v>
      </c>
      <c r="C321" s="16" t="s">
        <v>101</v>
      </c>
      <c r="D321" s="16" t="s">
        <v>102</v>
      </c>
      <c r="E321" s="16" t="n">
        <v>151</v>
      </c>
      <c r="F321" s="16" t="s">
        <v>115</v>
      </c>
      <c r="G321" s="16" t="s">
        <v>53</v>
      </c>
      <c r="H321" s="16" t="n">
        <v>100</v>
      </c>
      <c r="I321" s="19" t="n">
        <f aca="false">IFERROR(IF(D321="Sale",H321*VLOOKUP(G321,Product_Master!$A:$F,6,FALSE()),IF(D321="Purchase",H321*VLOOKUP(G321,Product_Master!$A:$F,5,FALSE()),0)),0)</f>
        <v>8500</v>
      </c>
    </row>
    <row r="322" customFormat="false" ht="14.25" hidden="false" customHeight="true" outlineLevel="0" collapsed="false">
      <c r="A322" s="15" t="n">
        <v>321</v>
      </c>
      <c r="B322" s="18" t="n">
        <v>46172</v>
      </c>
      <c r="C322" s="16" t="s">
        <v>101</v>
      </c>
      <c r="D322" s="16" t="s">
        <v>102</v>
      </c>
      <c r="E322" s="16" t="n">
        <v>152</v>
      </c>
      <c r="F322" s="16" t="s">
        <v>124</v>
      </c>
      <c r="G322" s="16" t="s">
        <v>38</v>
      </c>
      <c r="H322" s="16" t="n">
        <v>110</v>
      </c>
      <c r="I322" s="19" t="n">
        <f aca="false">IFERROR(IF(D322="Sale",H322*VLOOKUP(G322,Product_Master!$A:$F,6,FALSE()),IF(D322="Purchase",H322*VLOOKUP(G322,Product_Master!$A:$F,5,FALSE()),0)),0)</f>
        <v>10230</v>
      </c>
    </row>
    <row r="323" customFormat="false" ht="14.25" hidden="false" customHeight="true" outlineLevel="0" collapsed="false">
      <c r="A323" s="15" t="n">
        <v>322</v>
      </c>
      <c r="B323" s="18" t="n">
        <v>46172</v>
      </c>
      <c r="C323" s="16" t="s">
        <v>101</v>
      </c>
      <c r="D323" s="16" t="s">
        <v>102</v>
      </c>
      <c r="E323" s="16" t="n">
        <v>153</v>
      </c>
      <c r="F323" s="16" t="s">
        <v>175</v>
      </c>
      <c r="G323" s="16" t="s">
        <v>42</v>
      </c>
      <c r="H323" s="16" t="n">
        <v>120</v>
      </c>
      <c r="I323" s="19" t="n">
        <f aca="false">IFERROR(IF(D323="Sale",H323*VLOOKUP(G323,Product_Master!$A:$F,6,FALSE()),IF(D323="Purchase",H323*VLOOKUP(G323,Product_Master!$A:$F,5,FALSE()),0)),0)</f>
        <v>13440</v>
      </c>
    </row>
    <row r="324" customFormat="false" ht="14.25" hidden="false" customHeight="true" outlineLevel="0" collapsed="false">
      <c r="A324" s="15" t="n">
        <v>323</v>
      </c>
      <c r="B324" s="18" t="n">
        <v>46174</v>
      </c>
      <c r="C324" s="16" t="s">
        <v>101</v>
      </c>
      <c r="D324" s="16" t="s">
        <v>102</v>
      </c>
      <c r="E324" s="16" t="n">
        <v>154</v>
      </c>
      <c r="F324" s="16" t="s">
        <v>126</v>
      </c>
      <c r="G324" s="16" t="s">
        <v>41</v>
      </c>
      <c r="H324" s="16" t="n">
        <v>360</v>
      </c>
      <c r="I324" s="19" t="n">
        <f aca="false">IFERROR(IF(D324="Sale",H324*VLOOKUP(G324,Product_Master!$A:$F,6,FALSE()),IF(D324="Purchase",H324*VLOOKUP(G324,Product_Master!$A:$F,5,FALSE()),0)),0)</f>
        <v>39960</v>
      </c>
    </row>
    <row r="325" customFormat="false" ht="14.25" hidden="false" customHeight="true" outlineLevel="0" collapsed="false">
      <c r="A325" s="15" t="n">
        <v>324</v>
      </c>
      <c r="B325" s="18" t="n">
        <v>46174</v>
      </c>
      <c r="C325" s="16" t="s">
        <v>101</v>
      </c>
      <c r="D325" s="16" t="s">
        <v>102</v>
      </c>
      <c r="E325" s="16" t="n">
        <v>154</v>
      </c>
      <c r="F325" s="16" t="s">
        <v>126</v>
      </c>
      <c r="G325" s="16" t="s">
        <v>50</v>
      </c>
      <c r="H325" s="16" t="n">
        <v>300</v>
      </c>
      <c r="I325" s="19" t="n">
        <f aca="false">IFERROR(IF(D325="Sale",H325*VLOOKUP(G325,Product_Master!$A:$F,6,FALSE()),IF(D325="Purchase",H325*VLOOKUP(G325,Product_Master!$A:$F,5,FALSE()),0)),0)</f>
        <v>67500</v>
      </c>
    </row>
    <row r="326" customFormat="false" ht="14.25" hidden="false" customHeight="true" outlineLevel="0" collapsed="false">
      <c r="A326" s="15" t="n">
        <v>325</v>
      </c>
      <c r="B326" s="18" t="n">
        <v>46174</v>
      </c>
      <c r="C326" s="16" t="s">
        <v>101</v>
      </c>
      <c r="D326" s="16" t="s">
        <v>102</v>
      </c>
      <c r="E326" s="16" t="n">
        <v>154</v>
      </c>
      <c r="F326" s="16" t="s">
        <v>126</v>
      </c>
      <c r="G326" s="16" t="s">
        <v>55</v>
      </c>
      <c r="H326" s="16" t="n">
        <v>100</v>
      </c>
      <c r="I326" s="19" t="n">
        <f aca="false">IFERROR(IF(D326="Sale",H326*VLOOKUP(G326,Product_Master!$A:$F,6,FALSE()),IF(D326="Purchase",H326*VLOOKUP(G326,Product_Master!$A:$F,5,FALSE()),0)),0)</f>
        <v>18000</v>
      </c>
    </row>
    <row r="327" customFormat="false" ht="14.25" hidden="false" customHeight="true" outlineLevel="0" collapsed="false">
      <c r="A327" s="15" t="n">
        <v>326</v>
      </c>
      <c r="B327" s="18" t="n">
        <v>46174</v>
      </c>
      <c r="C327" s="16" t="s">
        <v>101</v>
      </c>
      <c r="D327" s="16" t="s">
        <v>102</v>
      </c>
      <c r="E327" s="16" t="n">
        <v>155</v>
      </c>
      <c r="F327" s="16" t="s">
        <v>155</v>
      </c>
      <c r="G327" s="16" t="s">
        <v>38</v>
      </c>
      <c r="H327" s="16" t="n">
        <v>110</v>
      </c>
      <c r="I327" s="19" t="n">
        <f aca="false">IFERROR(IF(D327="Sale",H327*VLOOKUP(G327,Product_Master!$A:$F,6,FALSE()),IF(D327="Purchase",H327*VLOOKUP(G327,Product_Master!$A:$F,5,FALSE()),0)),0)</f>
        <v>10230</v>
      </c>
    </row>
    <row r="328" customFormat="false" ht="14.25" hidden="false" customHeight="true" outlineLevel="0" collapsed="false">
      <c r="A328" s="15" t="n">
        <v>327</v>
      </c>
      <c r="B328" s="18" t="n">
        <v>46174</v>
      </c>
      <c r="C328" s="16" t="s">
        <v>101</v>
      </c>
      <c r="D328" s="16" t="s">
        <v>102</v>
      </c>
      <c r="E328" s="16" t="n">
        <v>156</v>
      </c>
      <c r="F328" s="16" t="s">
        <v>106</v>
      </c>
      <c r="G328" s="16" t="s">
        <v>40</v>
      </c>
      <c r="H328" s="16" t="n">
        <v>720</v>
      </c>
      <c r="I328" s="19" t="n">
        <f aca="false">IFERROR(IF(D328="Sale",H328*VLOOKUP(G328,Product_Master!$A:$F,6,FALSE()),IF(D328="Purchase",H328*VLOOKUP(G328,Product_Master!$A:$F,5,FALSE()),0)),0)</f>
        <v>73440</v>
      </c>
    </row>
    <row r="329" customFormat="false" ht="14.25" hidden="false" customHeight="true" outlineLevel="0" collapsed="false">
      <c r="A329" s="15" t="n">
        <v>328</v>
      </c>
      <c r="B329" s="18" t="n">
        <v>46174</v>
      </c>
      <c r="C329" s="16" t="s">
        <v>101</v>
      </c>
      <c r="D329" s="16" t="s">
        <v>102</v>
      </c>
      <c r="E329" s="16" t="n">
        <v>156</v>
      </c>
      <c r="F329" s="16" t="s">
        <v>106</v>
      </c>
      <c r="G329" s="16" t="s">
        <v>41</v>
      </c>
      <c r="H329" s="16" t="n">
        <v>720</v>
      </c>
      <c r="I329" s="19" t="n">
        <f aca="false">IFERROR(IF(D329="Sale",H329*VLOOKUP(G329,Product_Master!$A:$F,6,FALSE()),IF(D329="Purchase",H329*VLOOKUP(G329,Product_Master!$A:$F,5,FALSE()),0)),0)</f>
        <v>79920</v>
      </c>
    </row>
    <row r="330" customFormat="false" ht="14.25" hidden="false" customHeight="true" outlineLevel="0" collapsed="false">
      <c r="A330" s="15" t="n">
        <v>329</v>
      </c>
      <c r="B330" s="18" t="n">
        <v>46175</v>
      </c>
      <c r="C330" s="16" t="s">
        <v>101</v>
      </c>
      <c r="D330" s="16" t="s">
        <v>102</v>
      </c>
      <c r="E330" s="16" t="n">
        <v>111</v>
      </c>
      <c r="F330" s="16" t="s">
        <v>165</v>
      </c>
      <c r="G330" s="16" t="s">
        <v>51</v>
      </c>
      <c r="H330" s="16" t="n">
        <v>3.5</v>
      </c>
      <c r="I330" s="19" t="n">
        <f aca="false">IFERROR(IF(D330="Sale",H330*VLOOKUP(G330,Product_Master!$A:$F,6,FALSE()),IF(D330="Purchase",H330*VLOOKUP(G330,Product_Master!$A:$F,5,FALSE()),0)),0)</f>
        <v>987</v>
      </c>
    </row>
    <row r="331" customFormat="false" ht="14.25" hidden="false" customHeight="true" outlineLevel="0" collapsed="false">
      <c r="A331" s="15" t="n">
        <v>330</v>
      </c>
      <c r="B331" s="18" t="n">
        <v>46175</v>
      </c>
      <c r="C331" s="16" t="s">
        <v>101</v>
      </c>
      <c r="D331" s="16" t="s">
        <v>102</v>
      </c>
      <c r="E331" s="16" t="n">
        <v>157</v>
      </c>
      <c r="F331" s="16" t="s">
        <v>108</v>
      </c>
      <c r="G331" s="16" t="s">
        <v>41</v>
      </c>
      <c r="H331" s="16" t="n">
        <v>720</v>
      </c>
      <c r="I331" s="19" t="n">
        <f aca="false">IFERROR(IF(D331="Sale",H331*VLOOKUP(G331,Product_Master!$A:$F,6,FALSE()),IF(D331="Purchase",H331*VLOOKUP(G331,Product_Master!$A:$F,5,FALSE()),0)),0)</f>
        <v>79920</v>
      </c>
    </row>
    <row r="332" customFormat="false" ht="14.25" hidden="false" customHeight="true" outlineLevel="0" collapsed="false">
      <c r="A332" s="15" t="n">
        <v>331</v>
      </c>
      <c r="B332" s="18" t="n">
        <v>46175</v>
      </c>
      <c r="C332" s="16" t="s">
        <v>101</v>
      </c>
      <c r="D332" s="16" t="s">
        <v>102</v>
      </c>
      <c r="E332" s="16" t="n">
        <v>158</v>
      </c>
      <c r="F332" s="16" t="s">
        <v>109</v>
      </c>
      <c r="G332" s="16" t="s">
        <v>45</v>
      </c>
      <c r="H332" s="16" t="n">
        <v>300</v>
      </c>
      <c r="I332" s="19" t="n">
        <f aca="false">IFERROR(IF(D332="Sale",H332*VLOOKUP(G332,Product_Master!$A:$F,6,FALSE()),IF(D332="Purchase",H332*VLOOKUP(G332,Product_Master!$A:$F,5,FALSE()),0)),0)</f>
        <v>55500</v>
      </c>
    </row>
    <row r="333" customFormat="false" ht="14.25" hidden="false" customHeight="true" outlineLevel="0" collapsed="false">
      <c r="A333" s="15" t="n">
        <v>332</v>
      </c>
      <c r="B333" s="18" t="n">
        <v>46175</v>
      </c>
      <c r="C333" s="16" t="s">
        <v>101</v>
      </c>
      <c r="D333" s="16" t="s">
        <v>102</v>
      </c>
      <c r="E333" s="16" t="n">
        <v>159</v>
      </c>
      <c r="F333" s="16" t="s">
        <v>144</v>
      </c>
      <c r="G333" s="16" t="s">
        <v>58</v>
      </c>
      <c r="H333" s="16" t="n">
        <v>600</v>
      </c>
      <c r="I333" s="19" t="n">
        <f aca="false">IFERROR(IF(D333="Sale",H333*VLOOKUP(G333,Product_Master!$A:$F,6,FALSE()),IF(D333="Purchase",H333*VLOOKUP(G333,Product_Master!$A:$F,5,FALSE()),0)),0)</f>
        <v>121800</v>
      </c>
    </row>
    <row r="334" customFormat="false" ht="14.25" hidden="false" customHeight="true" outlineLevel="0" collapsed="false">
      <c r="A334" s="15" t="n">
        <v>333</v>
      </c>
      <c r="B334" s="18" t="n">
        <v>46176</v>
      </c>
      <c r="C334" s="16" t="s">
        <v>101</v>
      </c>
      <c r="D334" s="16" t="s">
        <v>102</v>
      </c>
      <c r="E334" s="16" t="n">
        <v>112</v>
      </c>
      <c r="F334" s="16" t="s">
        <v>159</v>
      </c>
      <c r="G334" s="16" t="s">
        <v>42</v>
      </c>
      <c r="H334" s="16" t="n">
        <v>600</v>
      </c>
      <c r="I334" s="19" t="n">
        <f aca="false">IFERROR(IF(D334="Sale",H334*VLOOKUP(G334,Product_Master!$A:$F,6,FALSE()),IF(D334="Purchase",H334*VLOOKUP(G334,Product_Master!$A:$F,5,FALSE()),0)),0)</f>
        <v>67200</v>
      </c>
    </row>
    <row r="335" customFormat="false" ht="14.25" hidden="false" customHeight="true" outlineLevel="0" collapsed="false">
      <c r="A335" s="15" t="n">
        <v>334</v>
      </c>
      <c r="B335" s="18" t="n">
        <v>46176</v>
      </c>
      <c r="C335" s="16" t="s">
        <v>101</v>
      </c>
      <c r="D335" s="16" t="s">
        <v>102</v>
      </c>
      <c r="E335" s="16" t="n">
        <v>160</v>
      </c>
      <c r="F335" s="16" t="s">
        <v>178</v>
      </c>
      <c r="G335" s="16" t="s">
        <v>45</v>
      </c>
      <c r="H335" s="16" t="n">
        <v>300</v>
      </c>
      <c r="I335" s="19" t="n">
        <f aca="false">IFERROR(IF(D335="Sale",H335*VLOOKUP(G335,Product_Master!$A:$F,6,FALSE()),IF(D335="Purchase",H335*VLOOKUP(G335,Product_Master!$A:$F,5,FALSE()),0)),0)</f>
        <v>55500</v>
      </c>
    </row>
    <row r="336" customFormat="false" ht="14.25" hidden="false" customHeight="true" outlineLevel="0" collapsed="false">
      <c r="A336" s="15" t="n">
        <v>335</v>
      </c>
      <c r="B336" s="18" t="n">
        <v>46176</v>
      </c>
      <c r="C336" s="16" t="s">
        <v>101</v>
      </c>
      <c r="D336" s="16" t="s">
        <v>102</v>
      </c>
      <c r="E336" s="16" t="n">
        <v>161</v>
      </c>
      <c r="F336" s="16" t="s">
        <v>114</v>
      </c>
      <c r="G336" s="16" t="s">
        <v>39</v>
      </c>
      <c r="H336" s="16" t="n">
        <v>480</v>
      </c>
      <c r="I336" s="19" t="n">
        <f aca="false">IFERROR(IF(D336="Sale",H336*VLOOKUP(G336,Product_Master!$A:$F,6,FALSE()),IF(D336="Purchase",H336*VLOOKUP(G336,Product_Master!$A:$F,5,FALSE()),0)),0)</f>
        <v>50880</v>
      </c>
    </row>
    <row r="337" customFormat="false" ht="14.25" hidden="false" customHeight="true" outlineLevel="0" collapsed="false">
      <c r="A337" s="15" t="n">
        <v>336</v>
      </c>
      <c r="B337" s="18" t="n">
        <v>46176</v>
      </c>
      <c r="C337" s="16" t="s">
        <v>101</v>
      </c>
      <c r="D337" s="16" t="s">
        <v>102</v>
      </c>
      <c r="E337" s="16" t="n">
        <v>162</v>
      </c>
      <c r="F337" s="16" t="s">
        <v>108</v>
      </c>
      <c r="G337" s="16" t="s">
        <v>42</v>
      </c>
      <c r="H337" s="16" t="n">
        <v>720</v>
      </c>
      <c r="I337" s="19" t="n">
        <f aca="false">IFERROR(IF(D337="Sale",H337*VLOOKUP(G337,Product_Master!$A:$F,6,FALSE()),IF(D337="Purchase",H337*VLOOKUP(G337,Product_Master!$A:$F,5,FALSE()),0)),0)</f>
        <v>80640</v>
      </c>
    </row>
    <row r="338" customFormat="false" ht="14.25" hidden="false" customHeight="true" outlineLevel="0" collapsed="false">
      <c r="A338" s="15" t="n">
        <v>337</v>
      </c>
      <c r="B338" s="18" t="n">
        <v>46176</v>
      </c>
      <c r="C338" s="16" t="s">
        <v>101</v>
      </c>
      <c r="D338" s="16" t="s">
        <v>102</v>
      </c>
      <c r="E338" s="16" t="n">
        <v>163</v>
      </c>
      <c r="F338" s="16" t="s">
        <v>126</v>
      </c>
      <c r="G338" s="16" t="s">
        <v>42</v>
      </c>
      <c r="H338" s="16" t="n">
        <v>240</v>
      </c>
      <c r="I338" s="19" t="n">
        <f aca="false">IFERROR(IF(D338="Sale",H338*VLOOKUP(G338,Product_Master!$A:$F,6,FALSE()),IF(D338="Purchase",H338*VLOOKUP(G338,Product_Master!$A:$F,5,FALSE()),0)),0)</f>
        <v>26880</v>
      </c>
    </row>
    <row r="339" customFormat="false" ht="14.25" hidden="false" customHeight="true" outlineLevel="0" collapsed="false">
      <c r="A339" s="15" t="n">
        <v>338</v>
      </c>
      <c r="B339" s="18" t="n">
        <v>46176</v>
      </c>
      <c r="C339" s="16" t="s">
        <v>101</v>
      </c>
      <c r="D339" s="16" t="s">
        <v>102</v>
      </c>
      <c r="E339" s="16" t="n">
        <v>164</v>
      </c>
      <c r="F339" s="16" t="s">
        <v>145</v>
      </c>
      <c r="G339" s="16" t="s">
        <v>51</v>
      </c>
      <c r="H339" s="16" t="n">
        <v>60</v>
      </c>
      <c r="I339" s="19" t="n">
        <f aca="false">IFERROR(IF(D339="Sale",H339*VLOOKUP(G339,Product_Master!$A:$F,6,FALSE()),IF(D339="Purchase",H339*VLOOKUP(G339,Product_Master!$A:$F,5,FALSE()),0)),0)</f>
        <v>16920</v>
      </c>
    </row>
    <row r="340" customFormat="false" ht="14.25" hidden="false" customHeight="true" outlineLevel="0" collapsed="false">
      <c r="A340" s="15" t="n">
        <v>339</v>
      </c>
      <c r="B340" s="18" t="n">
        <v>46176</v>
      </c>
      <c r="C340" s="16" t="s">
        <v>101</v>
      </c>
      <c r="D340" s="16" t="s">
        <v>102</v>
      </c>
      <c r="E340" s="16" t="n">
        <v>164</v>
      </c>
      <c r="F340" s="16" t="s">
        <v>145</v>
      </c>
      <c r="G340" s="16" t="s">
        <v>70</v>
      </c>
      <c r="H340" s="16" t="n">
        <v>360</v>
      </c>
      <c r="I340" s="19" t="n">
        <f aca="false">IFERROR(IF(D340="Sale",H340*VLOOKUP(G340,Product_Master!$A:$F,6,FALSE()),IF(D340="Purchase",H340*VLOOKUP(G340,Product_Master!$A:$F,5,FALSE()),0)),0)</f>
        <v>165600</v>
      </c>
    </row>
    <row r="341" customFormat="false" ht="14.25" hidden="false" customHeight="true" outlineLevel="0" collapsed="false">
      <c r="A341" s="15" t="n">
        <v>340</v>
      </c>
      <c r="B341" s="18" t="n">
        <v>46176</v>
      </c>
      <c r="C341" s="16" t="s">
        <v>101</v>
      </c>
      <c r="D341" s="16" t="s">
        <v>102</v>
      </c>
      <c r="E341" s="16" t="n">
        <v>164</v>
      </c>
      <c r="F341" s="16" t="s">
        <v>145</v>
      </c>
      <c r="G341" s="16" t="s">
        <v>76</v>
      </c>
      <c r="H341" s="16" t="n">
        <v>100</v>
      </c>
      <c r="I341" s="19" t="n">
        <f aca="false">IFERROR(IF(D341="Sale",H341*VLOOKUP(G341,Product_Master!$A:$F,6,FALSE()),IF(D341="Purchase",H341*VLOOKUP(G341,Product_Master!$A:$F,5,FALSE()),0)),0)</f>
        <v>19600</v>
      </c>
    </row>
    <row r="342" customFormat="false" ht="14.25" hidden="false" customHeight="true" outlineLevel="0" collapsed="false">
      <c r="A342" s="15" t="n">
        <v>341</v>
      </c>
      <c r="B342" s="18" t="n">
        <v>46176</v>
      </c>
      <c r="C342" s="16" t="s">
        <v>101</v>
      </c>
      <c r="D342" s="16" t="s">
        <v>102</v>
      </c>
      <c r="E342" s="16" t="n">
        <v>165</v>
      </c>
      <c r="F342" s="16" t="s">
        <v>148</v>
      </c>
      <c r="G342" s="16" t="s">
        <v>41</v>
      </c>
      <c r="H342" s="16" t="n">
        <v>240</v>
      </c>
      <c r="I342" s="19" t="n">
        <f aca="false">IFERROR(IF(D342="Sale",H342*VLOOKUP(G342,Product_Master!$A:$F,6,FALSE()),IF(D342="Purchase",H342*VLOOKUP(G342,Product_Master!$A:$F,5,FALSE()),0)),0)</f>
        <v>26640</v>
      </c>
    </row>
    <row r="343" customFormat="false" ht="14.25" hidden="false" customHeight="true" outlineLevel="0" collapsed="false">
      <c r="A343" s="15" t="n">
        <v>342</v>
      </c>
      <c r="B343" s="18" t="n">
        <v>46176</v>
      </c>
      <c r="C343" s="16" t="s">
        <v>101</v>
      </c>
      <c r="D343" s="16" t="s">
        <v>102</v>
      </c>
      <c r="E343" s="16" t="n">
        <v>165</v>
      </c>
      <c r="F343" s="16" t="s">
        <v>148</v>
      </c>
      <c r="G343" s="16" t="s">
        <v>42</v>
      </c>
      <c r="H343" s="16" t="n">
        <v>240</v>
      </c>
      <c r="I343" s="19" t="n">
        <f aca="false">IFERROR(IF(D343="Sale",H343*VLOOKUP(G343,Product_Master!$A:$F,6,FALSE()),IF(D343="Purchase",H343*VLOOKUP(G343,Product_Master!$A:$F,5,FALSE()),0)),0)</f>
        <v>26880</v>
      </c>
    </row>
    <row r="344" customFormat="false" ht="14.25" hidden="false" customHeight="true" outlineLevel="0" collapsed="false">
      <c r="A344" s="15" t="n">
        <v>343</v>
      </c>
      <c r="B344" s="18" t="n">
        <v>46176</v>
      </c>
      <c r="C344" s="16" t="s">
        <v>101</v>
      </c>
      <c r="D344" s="16" t="s">
        <v>102</v>
      </c>
      <c r="E344" s="16" t="n">
        <v>166</v>
      </c>
      <c r="F344" s="16" t="s">
        <v>109</v>
      </c>
      <c r="G344" s="16" t="s">
        <v>40</v>
      </c>
      <c r="H344" s="16" t="n">
        <v>120</v>
      </c>
      <c r="I344" s="19" t="n">
        <f aca="false">IFERROR(IF(D344="Sale",H344*VLOOKUP(G344,Product_Master!$A:$F,6,FALSE()),IF(D344="Purchase",H344*VLOOKUP(G344,Product_Master!$A:$F,5,FALSE()),0)),0)</f>
        <v>12240</v>
      </c>
    </row>
    <row r="345" customFormat="false" ht="14.25" hidden="false" customHeight="true" outlineLevel="0" collapsed="false">
      <c r="A345" s="15" t="n">
        <v>344</v>
      </c>
      <c r="B345" s="18" t="n">
        <v>46176</v>
      </c>
      <c r="C345" s="16" t="s">
        <v>101</v>
      </c>
      <c r="D345" s="16" t="s">
        <v>102</v>
      </c>
      <c r="E345" s="16" t="n">
        <v>166</v>
      </c>
      <c r="F345" s="16" t="s">
        <v>109</v>
      </c>
      <c r="G345" s="16" t="s">
        <v>41</v>
      </c>
      <c r="H345" s="16" t="n">
        <v>120</v>
      </c>
      <c r="I345" s="19" t="n">
        <f aca="false">IFERROR(IF(D345="Sale",H345*VLOOKUP(G345,Product_Master!$A:$F,6,FALSE()),IF(D345="Purchase",H345*VLOOKUP(G345,Product_Master!$A:$F,5,FALSE()),0)),0)</f>
        <v>13320</v>
      </c>
    </row>
    <row r="346" customFormat="false" ht="14.25" hidden="false" customHeight="true" outlineLevel="0" collapsed="false">
      <c r="A346" s="15" t="n">
        <v>345</v>
      </c>
      <c r="B346" s="18" t="n">
        <v>46176</v>
      </c>
      <c r="C346" s="16" t="s">
        <v>101</v>
      </c>
      <c r="D346" s="16" t="s">
        <v>102</v>
      </c>
      <c r="E346" s="16" t="n">
        <v>167</v>
      </c>
      <c r="F346" s="16" t="s">
        <v>152</v>
      </c>
      <c r="G346" s="16" t="s">
        <v>38</v>
      </c>
      <c r="H346" s="16" t="n">
        <v>330</v>
      </c>
      <c r="I346" s="19" t="n">
        <f aca="false">IFERROR(IF(D346="Sale",H346*VLOOKUP(G346,Product_Master!$A:$F,6,FALSE()),IF(D346="Purchase",H346*VLOOKUP(G346,Product_Master!$A:$F,5,FALSE()),0)),0)</f>
        <v>30690</v>
      </c>
    </row>
    <row r="347" customFormat="false" ht="14.25" hidden="false" customHeight="true" outlineLevel="0" collapsed="false">
      <c r="A347" s="15" t="n">
        <v>346</v>
      </c>
      <c r="B347" s="18" t="n">
        <v>46176</v>
      </c>
      <c r="C347" s="16" t="s">
        <v>101</v>
      </c>
      <c r="D347" s="16" t="s">
        <v>102</v>
      </c>
      <c r="E347" s="16" t="n">
        <v>168</v>
      </c>
      <c r="F347" s="16" t="s">
        <v>175</v>
      </c>
      <c r="G347" s="16" t="s">
        <v>41</v>
      </c>
      <c r="H347" s="16" t="n">
        <v>240</v>
      </c>
      <c r="I347" s="19" t="n">
        <f aca="false">IFERROR(IF(D347="Sale",H347*VLOOKUP(G347,Product_Master!$A:$F,6,FALSE()),IF(D347="Purchase",H347*VLOOKUP(G347,Product_Master!$A:$F,5,FALSE()),0)),0)</f>
        <v>26640</v>
      </c>
    </row>
    <row r="348" customFormat="false" ht="14.25" hidden="false" customHeight="true" outlineLevel="0" collapsed="false">
      <c r="A348" s="15" t="n">
        <v>347</v>
      </c>
      <c r="B348" s="18" t="n">
        <v>46176</v>
      </c>
      <c r="C348" s="16" t="s">
        <v>101</v>
      </c>
      <c r="D348" s="16" t="s">
        <v>102</v>
      </c>
      <c r="E348" s="16" t="n">
        <v>168</v>
      </c>
      <c r="F348" s="16" t="s">
        <v>175</v>
      </c>
      <c r="G348" s="16" t="s">
        <v>42</v>
      </c>
      <c r="H348" s="16" t="n">
        <v>240</v>
      </c>
      <c r="I348" s="19" t="n">
        <f aca="false">IFERROR(IF(D348="Sale",H348*VLOOKUP(G348,Product_Master!$A:$F,6,FALSE()),IF(D348="Purchase",H348*VLOOKUP(G348,Product_Master!$A:$F,5,FALSE()),0)),0)</f>
        <v>26880</v>
      </c>
    </row>
    <row r="349" customFormat="false" ht="14.25" hidden="false" customHeight="true" outlineLevel="0" collapsed="false">
      <c r="A349" s="15" t="n">
        <v>348</v>
      </c>
      <c r="B349" s="18" t="n">
        <v>46176</v>
      </c>
      <c r="C349" s="16" t="s">
        <v>101</v>
      </c>
      <c r="D349" s="16" t="s">
        <v>102</v>
      </c>
      <c r="E349" s="16" t="n">
        <v>169</v>
      </c>
      <c r="F349" s="16" t="s">
        <v>163</v>
      </c>
      <c r="G349" s="16" t="s">
        <v>40</v>
      </c>
      <c r="H349" s="16" t="n">
        <v>120</v>
      </c>
      <c r="I349" s="19" t="n">
        <f aca="false">IFERROR(IF(D349="Sale",H349*VLOOKUP(G349,Product_Master!$A:$F,6,FALSE()),IF(D349="Purchase",H349*VLOOKUP(G349,Product_Master!$A:$F,5,FALSE()),0)),0)</f>
        <v>12240</v>
      </c>
    </row>
    <row r="350" customFormat="false" ht="14.25" hidden="false" customHeight="true" outlineLevel="0" collapsed="false">
      <c r="A350" s="15" t="n">
        <v>349</v>
      </c>
      <c r="B350" s="18" t="n">
        <v>46177</v>
      </c>
      <c r="C350" s="16" t="s">
        <v>101</v>
      </c>
      <c r="D350" s="16" t="s">
        <v>102</v>
      </c>
      <c r="E350" s="16" t="n">
        <v>113</v>
      </c>
      <c r="F350" s="16" t="s">
        <v>179</v>
      </c>
      <c r="G350" s="16" t="s">
        <v>41</v>
      </c>
      <c r="H350" s="16" t="n">
        <v>120</v>
      </c>
      <c r="I350" s="19" t="n">
        <f aca="false">IFERROR(IF(D350="Sale",H350*VLOOKUP(G350,Product_Master!$A:$F,6,FALSE()),IF(D350="Purchase",H350*VLOOKUP(G350,Product_Master!$A:$F,5,FALSE()),0)),0)</f>
        <v>13320</v>
      </c>
    </row>
    <row r="351" customFormat="false" ht="14.25" hidden="false" customHeight="true" outlineLevel="0" collapsed="false">
      <c r="A351" s="15" t="n">
        <v>350</v>
      </c>
      <c r="B351" s="18" t="n">
        <v>46177</v>
      </c>
      <c r="C351" s="16" t="s">
        <v>101</v>
      </c>
      <c r="D351" s="16" t="s">
        <v>102</v>
      </c>
      <c r="E351" s="16" t="n">
        <v>113</v>
      </c>
      <c r="F351" s="16" t="s">
        <v>179</v>
      </c>
      <c r="G351" s="16" t="s">
        <v>42</v>
      </c>
      <c r="H351" s="16" t="n">
        <v>120</v>
      </c>
      <c r="I351" s="19" t="n">
        <f aca="false">IFERROR(IF(D351="Sale",H351*VLOOKUP(G351,Product_Master!$A:$F,6,FALSE()),IF(D351="Purchase",H351*VLOOKUP(G351,Product_Master!$A:$F,5,FALSE()),0)),0)</f>
        <v>13440</v>
      </c>
    </row>
    <row r="352" customFormat="false" ht="14.25" hidden="false" customHeight="true" outlineLevel="0" collapsed="false">
      <c r="A352" s="15" t="n">
        <v>351</v>
      </c>
      <c r="B352" s="18" t="n">
        <v>46177</v>
      </c>
      <c r="C352" s="16" t="s">
        <v>101</v>
      </c>
      <c r="D352" s="16" t="s">
        <v>102</v>
      </c>
      <c r="E352" s="16" t="n">
        <v>114</v>
      </c>
      <c r="F352" s="16" t="s">
        <v>180</v>
      </c>
      <c r="G352" s="16" t="s">
        <v>41</v>
      </c>
      <c r="H352" s="16" t="n">
        <v>600</v>
      </c>
      <c r="I352" s="19" t="n">
        <f aca="false">IFERROR(IF(D352="Sale",H352*VLOOKUP(G352,Product_Master!$A:$F,6,FALSE()),IF(D352="Purchase",H352*VLOOKUP(G352,Product_Master!$A:$F,5,FALSE()),0)),0)</f>
        <v>66600</v>
      </c>
    </row>
    <row r="353" customFormat="false" ht="14.25" hidden="false" customHeight="true" outlineLevel="0" collapsed="false">
      <c r="A353" s="15" t="n">
        <v>352</v>
      </c>
      <c r="B353" s="18" t="n">
        <v>46177</v>
      </c>
      <c r="C353" s="16" t="s">
        <v>101</v>
      </c>
      <c r="D353" s="16" t="s">
        <v>102</v>
      </c>
      <c r="E353" s="16" t="n">
        <v>170</v>
      </c>
      <c r="F353" s="16" t="s">
        <v>181</v>
      </c>
      <c r="G353" s="16" t="s">
        <v>61</v>
      </c>
      <c r="H353" s="16" t="n">
        <v>30</v>
      </c>
      <c r="I353" s="19" t="n">
        <f aca="false">IFERROR(IF(D353="Sale",H353*VLOOKUP(G353,Product_Master!$A:$F,6,FALSE()),IF(D353="Purchase",H353*VLOOKUP(G353,Product_Master!$A:$F,5,FALSE()),0)),0)</f>
        <v>6870</v>
      </c>
    </row>
    <row r="354" customFormat="false" ht="14.25" hidden="false" customHeight="true" outlineLevel="0" collapsed="false">
      <c r="A354" s="15" t="n">
        <v>353</v>
      </c>
      <c r="B354" s="18" t="n">
        <v>46177</v>
      </c>
      <c r="C354" s="16" t="s">
        <v>101</v>
      </c>
      <c r="D354" s="16" t="s">
        <v>102</v>
      </c>
      <c r="E354" s="16" t="n">
        <v>171</v>
      </c>
      <c r="F354" s="16" t="s">
        <v>182</v>
      </c>
      <c r="G354" s="16" t="s">
        <v>41</v>
      </c>
      <c r="H354" s="16" t="n">
        <v>120</v>
      </c>
      <c r="I354" s="19" t="n">
        <f aca="false">IFERROR(IF(D354="Sale",H354*VLOOKUP(G354,Product_Master!$A:$F,6,FALSE()),IF(D354="Purchase",H354*VLOOKUP(G354,Product_Master!$A:$F,5,FALSE()),0)),0)</f>
        <v>13320</v>
      </c>
    </row>
    <row r="355" customFormat="false" ht="14.25" hidden="false" customHeight="true" outlineLevel="0" collapsed="false">
      <c r="A355" s="15" t="n">
        <v>354</v>
      </c>
      <c r="B355" s="18" t="n">
        <v>46178</v>
      </c>
      <c r="C355" s="16" t="s">
        <v>101</v>
      </c>
      <c r="D355" s="16" t="s">
        <v>102</v>
      </c>
      <c r="E355" s="16" t="n">
        <v>115</v>
      </c>
      <c r="F355" s="16" t="s">
        <v>183</v>
      </c>
      <c r="G355" s="16" t="s">
        <v>42</v>
      </c>
      <c r="H355" s="16" t="n">
        <v>120</v>
      </c>
      <c r="I355" s="19" t="n">
        <f aca="false">IFERROR(IF(D355="Sale",H355*VLOOKUP(G355,Product_Master!$A:$F,6,FALSE()),IF(D355="Purchase",H355*VLOOKUP(G355,Product_Master!$A:$F,5,FALSE()),0)),0)</f>
        <v>13440</v>
      </c>
    </row>
    <row r="356" customFormat="false" ht="14.25" hidden="false" customHeight="true" outlineLevel="0" collapsed="false">
      <c r="A356" s="15" t="n">
        <v>355</v>
      </c>
      <c r="B356" s="18" t="n">
        <v>46178</v>
      </c>
      <c r="C356" s="16" t="s">
        <v>101</v>
      </c>
      <c r="D356" s="16" t="s">
        <v>102</v>
      </c>
      <c r="E356" s="16" t="n">
        <v>172</v>
      </c>
      <c r="F356" s="16" t="s">
        <v>128</v>
      </c>
      <c r="G356" s="16" t="s">
        <v>74</v>
      </c>
      <c r="H356" s="16" t="n">
        <v>250</v>
      </c>
      <c r="I356" s="19" t="n">
        <f aca="false">IFERROR(IF(D356="Sale",H356*VLOOKUP(G356,Product_Master!$A:$F,6,FALSE()),IF(D356="Purchase",H356*VLOOKUP(G356,Product_Master!$A:$F,5,FALSE()),0)),0)</f>
        <v>40000</v>
      </c>
    </row>
    <row r="357" customFormat="false" ht="14.25" hidden="false" customHeight="true" outlineLevel="0" collapsed="false">
      <c r="A357" s="15" t="n">
        <v>356</v>
      </c>
      <c r="B357" s="18" t="n">
        <v>46178</v>
      </c>
      <c r="C357" s="16" t="s">
        <v>101</v>
      </c>
      <c r="D357" s="16" t="s">
        <v>102</v>
      </c>
      <c r="E357" s="16" t="n">
        <v>173</v>
      </c>
      <c r="F357" s="16" t="s">
        <v>142</v>
      </c>
      <c r="G357" s="16" t="s">
        <v>41</v>
      </c>
      <c r="H357" s="16" t="n">
        <v>120</v>
      </c>
      <c r="I357" s="19" t="n">
        <f aca="false">IFERROR(IF(D357="Sale",H357*VLOOKUP(G357,Product_Master!$A:$F,6,FALSE()),IF(D357="Purchase",H357*VLOOKUP(G357,Product_Master!$A:$F,5,FALSE()),0)),0)</f>
        <v>13320</v>
      </c>
    </row>
    <row r="358" customFormat="false" ht="14.25" hidden="false" customHeight="true" outlineLevel="0" collapsed="false">
      <c r="A358" s="15" t="n">
        <v>357</v>
      </c>
      <c r="B358" s="18" t="n">
        <v>46178</v>
      </c>
      <c r="C358" s="16" t="s">
        <v>101</v>
      </c>
      <c r="D358" s="16" t="s">
        <v>102</v>
      </c>
      <c r="E358" s="16" t="n">
        <v>173</v>
      </c>
      <c r="F358" s="16" t="s">
        <v>142</v>
      </c>
      <c r="G358" s="16" t="s">
        <v>42</v>
      </c>
      <c r="H358" s="16" t="n">
        <v>120</v>
      </c>
      <c r="I358" s="19" t="n">
        <f aca="false">IFERROR(IF(D358="Sale",H358*VLOOKUP(G358,Product_Master!$A:$F,6,FALSE()),IF(D358="Purchase",H358*VLOOKUP(G358,Product_Master!$A:$F,5,FALSE()),0)),0)</f>
        <v>13440</v>
      </c>
    </row>
    <row r="359" customFormat="false" ht="14.25" hidden="false" customHeight="true" outlineLevel="0" collapsed="false">
      <c r="A359" s="15" t="n">
        <v>358</v>
      </c>
      <c r="B359" s="18" t="n">
        <v>46178</v>
      </c>
      <c r="C359" s="16" t="s">
        <v>101</v>
      </c>
      <c r="D359" s="16" t="s">
        <v>102</v>
      </c>
      <c r="E359" s="16" t="n">
        <v>173</v>
      </c>
      <c r="F359" s="16" t="s">
        <v>142</v>
      </c>
      <c r="G359" s="16" t="s">
        <v>43</v>
      </c>
      <c r="H359" s="16" t="n">
        <v>120</v>
      </c>
      <c r="I359" s="19" t="n">
        <f aca="false">IFERROR(IF(D359="Sale",H359*VLOOKUP(G359,Product_Master!$A:$F,6,FALSE()),IF(D359="Purchase",H359*VLOOKUP(G359,Product_Master!$A:$F,5,FALSE()),0)),0)</f>
        <v>19200</v>
      </c>
    </row>
    <row r="360" customFormat="false" ht="14.25" hidden="false" customHeight="true" outlineLevel="0" collapsed="false">
      <c r="A360" s="15" t="n">
        <v>359</v>
      </c>
      <c r="B360" s="18" t="n">
        <v>46179</v>
      </c>
      <c r="C360" s="16" t="s">
        <v>101</v>
      </c>
      <c r="D360" s="16" t="s">
        <v>102</v>
      </c>
      <c r="E360" s="16" t="n">
        <v>103</v>
      </c>
      <c r="F360" s="16" t="s">
        <v>106</v>
      </c>
      <c r="G360" s="16" t="s">
        <v>40</v>
      </c>
      <c r="H360" s="16" t="n">
        <v>720</v>
      </c>
      <c r="I360" s="19" t="n">
        <f aca="false">IFERROR(IF(D360="Sale",H360*VLOOKUP(G360,Product_Master!$A:$F,6,FALSE()),IF(D360="Purchase",H360*VLOOKUP(G360,Product_Master!$A:$F,5,FALSE()),0)),0)</f>
        <v>73440</v>
      </c>
    </row>
    <row r="361" customFormat="false" ht="14.25" hidden="false" customHeight="true" outlineLevel="0" collapsed="false">
      <c r="A361" s="15" t="n">
        <v>360</v>
      </c>
      <c r="B361" s="18" t="n">
        <v>46179</v>
      </c>
      <c r="C361" s="16" t="s">
        <v>101</v>
      </c>
      <c r="D361" s="16" t="s">
        <v>102</v>
      </c>
      <c r="E361" s="16" t="n">
        <v>103</v>
      </c>
      <c r="F361" s="16" t="s">
        <v>106</v>
      </c>
      <c r="G361" s="16" t="s">
        <v>41</v>
      </c>
      <c r="H361" s="16" t="n">
        <v>720</v>
      </c>
      <c r="I361" s="19" t="n">
        <f aca="false">IFERROR(IF(D361="Sale",H361*VLOOKUP(G361,Product_Master!$A:$F,6,FALSE()),IF(D361="Purchase",H361*VLOOKUP(G361,Product_Master!$A:$F,5,FALSE()),0)),0)</f>
        <v>79920</v>
      </c>
    </row>
    <row r="362" customFormat="false" ht="14.25" hidden="false" customHeight="true" outlineLevel="0" collapsed="false">
      <c r="A362" s="15" t="n">
        <v>361</v>
      </c>
      <c r="B362" s="18" t="n">
        <v>46179</v>
      </c>
      <c r="C362" s="16" t="s">
        <v>101</v>
      </c>
      <c r="D362" s="16" t="s">
        <v>102</v>
      </c>
      <c r="E362" s="16" t="n">
        <v>103</v>
      </c>
      <c r="F362" s="16" t="s">
        <v>106</v>
      </c>
      <c r="G362" s="16" t="s">
        <v>73</v>
      </c>
      <c r="H362" s="16" t="n">
        <v>125</v>
      </c>
      <c r="I362" s="19" t="n">
        <f aca="false">IFERROR(IF(D362="Sale",H362*VLOOKUP(G362,Product_Master!$A:$F,6,FALSE()),IF(D362="Purchase",H362*VLOOKUP(G362,Product_Master!$A:$F,5,FALSE()),0)),0)</f>
        <v>17500</v>
      </c>
    </row>
    <row r="363" customFormat="false" ht="14.25" hidden="false" customHeight="true" outlineLevel="0" collapsed="false">
      <c r="A363" s="15" t="n">
        <v>362</v>
      </c>
      <c r="B363" s="18" t="n">
        <v>46179</v>
      </c>
      <c r="C363" s="16" t="s">
        <v>101</v>
      </c>
      <c r="D363" s="16" t="s">
        <v>102</v>
      </c>
      <c r="E363" s="16" t="n">
        <v>116</v>
      </c>
      <c r="F363" s="16" t="s">
        <v>140</v>
      </c>
      <c r="G363" s="16" t="s">
        <v>50</v>
      </c>
      <c r="H363" s="16" t="n">
        <v>50</v>
      </c>
      <c r="I363" s="19" t="n">
        <f aca="false">IFERROR(IF(D363="Sale",H363*VLOOKUP(G363,Product_Master!$A:$F,6,FALSE()),IF(D363="Purchase",H363*VLOOKUP(G363,Product_Master!$A:$F,5,FALSE()),0)),0)</f>
        <v>11250</v>
      </c>
    </row>
    <row r="364" customFormat="false" ht="14.25" hidden="false" customHeight="true" outlineLevel="0" collapsed="false">
      <c r="A364" s="15" t="n">
        <v>363</v>
      </c>
      <c r="B364" s="18" t="n">
        <v>46179</v>
      </c>
      <c r="C364" s="16" t="s">
        <v>101</v>
      </c>
      <c r="D364" s="16" t="s">
        <v>102</v>
      </c>
      <c r="E364" s="16" t="n">
        <v>117</v>
      </c>
      <c r="F364" s="16" t="s">
        <v>180</v>
      </c>
      <c r="G364" s="16" t="s">
        <v>42</v>
      </c>
      <c r="H364" s="16" t="n">
        <v>600</v>
      </c>
      <c r="I364" s="19" t="n">
        <f aca="false">IFERROR(IF(D364="Sale",H364*VLOOKUP(G364,Product_Master!$A:$F,6,FALSE()),IF(D364="Purchase",H364*VLOOKUP(G364,Product_Master!$A:$F,5,FALSE()),0)),0)</f>
        <v>67200</v>
      </c>
    </row>
    <row r="365" customFormat="false" ht="14.25" hidden="false" customHeight="true" outlineLevel="0" collapsed="false">
      <c r="A365" s="15" t="n">
        <v>364</v>
      </c>
      <c r="B365" s="18" t="n">
        <v>46181</v>
      </c>
      <c r="C365" s="16" t="s">
        <v>101</v>
      </c>
      <c r="D365" s="16" t="s">
        <v>102</v>
      </c>
      <c r="E365" s="16" t="n">
        <v>174</v>
      </c>
      <c r="F365" s="16" t="s">
        <v>178</v>
      </c>
      <c r="G365" s="16" t="s">
        <v>42</v>
      </c>
      <c r="H365" s="16" t="n">
        <v>1200</v>
      </c>
      <c r="I365" s="19" t="n">
        <f aca="false">IFERROR(IF(D365="Sale",H365*VLOOKUP(G365,Product_Master!$A:$F,6,FALSE()),IF(D365="Purchase",H365*VLOOKUP(G365,Product_Master!$A:$F,5,FALSE()),0)),0)</f>
        <v>134400</v>
      </c>
    </row>
    <row r="366" customFormat="false" ht="14.25" hidden="false" customHeight="true" outlineLevel="0" collapsed="false">
      <c r="A366" s="15" t="n">
        <v>365</v>
      </c>
      <c r="B366" s="18" t="n">
        <v>46181</v>
      </c>
      <c r="C366" s="16" t="s">
        <v>101</v>
      </c>
      <c r="D366" s="16" t="s">
        <v>102</v>
      </c>
      <c r="E366" s="16" t="n">
        <v>175</v>
      </c>
      <c r="F366" s="16" t="s">
        <v>121</v>
      </c>
      <c r="G366" s="16" t="s">
        <v>41</v>
      </c>
      <c r="H366" s="16" t="n">
        <v>120</v>
      </c>
      <c r="I366" s="19" t="n">
        <f aca="false">IFERROR(IF(D366="Sale",H366*VLOOKUP(G366,Product_Master!$A:$F,6,FALSE()),IF(D366="Purchase",H366*VLOOKUP(G366,Product_Master!$A:$F,5,FALSE()),0)),0)</f>
        <v>13320</v>
      </c>
    </row>
    <row r="367" customFormat="false" ht="14.25" hidden="false" customHeight="true" outlineLevel="0" collapsed="false">
      <c r="A367" s="15" t="n">
        <v>366</v>
      </c>
      <c r="B367" s="18" t="n">
        <v>46181</v>
      </c>
      <c r="C367" s="16" t="s">
        <v>101</v>
      </c>
      <c r="D367" s="16" t="s">
        <v>102</v>
      </c>
      <c r="E367" s="16" t="n">
        <v>176</v>
      </c>
      <c r="F367" s="16" t="s">
        <v>172</v>
      </c>
      <c r="G367" s="16" t="s">
        <v>50</v>
      </c>
      <c r="H367" s="16" t="n">
        <v>125</v>
      </c>
      <c r="I367" s="19" t="n">
        <f aca="false">IFERROR(IF(D367="Sale",H367*VLOOKUP(G367,Product_Master!$A:$F,6,FALSE()),IF(D367="Purchase",H367*VLOOKUP(G367,Product_Master!$A:$F,5,FALSE()),0)),0)</f>
        <v>28125</v>
      </c>
    </row>
    <row r="368" customFormat="false" ht="14.25" hidden="false" customHeight="true" outlineLevel="0" collapsed="false">
      <c r="A368" s="15" t="n">
        <v>367</v>
      </c>
      <c r="B368" s="18" t="n">
        <v>46182</v>
      </c>
      <c r="C368" s="16" t="s">
        <v>101</v>
      </c>
      <c r="D368" s="16" t="s">
        <v>102</v>
      </c>
      <c r="E368" s="16" t="n">
        <v>118</v>
      </c>
      <c r="F368" s="16" t="s">
        <v>135</v>
      </c>
      <c r="G368" s="16" t="s">
        <v>38</v>
      </c>
      <c r="H368" s="16" t="n">
        <v>10</v>
      </c>
      <c r="I368" s="19" t="n">
        <f aca="false">IFERROR(IF(D368="Sale",H368*VLOOKUP(G368,Product_Master!$A:$F,6,FALSE()),IF(D368="Purchase",H368*VLOOKUP(G368,Product_Master!$A:$F,5,FALSE()),0)),0)</f>
        <v>930</v>
      </c>
    </row>
    <row r="369" customFormat="false" ht="14.25" hidden="false" customHeight="true" outlineLevel="0" collapsed="false">
      <c r="A369" s="15" t="n">
        <v>368</v>
      </c>
      <c r="B369" s="18" t="n">
        <v>46182</v>
      </c>
      <c r="C369" s="16" t="s">
        <v>101</v>
      </c>
      <c r="D369" s="16" t="s">
        <v>102</v>
      </c>
      <c r="E369" s="16" t="n">
        <v>118</v>
      </c>
      <c r="F369" s="16" t="s">
        <v>135</v>
      </c>
      <c r="G369" s="16" t="s">
        <v>41</v>
      </c>
      <c r="H369" s="16" t="n">
        <v>10</v>
      </c>
      <c r="I369" s="19" t="n">
        <f aca="false">IFERROR(IF(D369="Sale",H369*VLOOKUP(G369,Product_Master!$A:$F,6,FALSE()),IF(D369="Purchase",H369*VLOOKUP(G369,Product_Master!$A:$F,5,FALSE()),0)),0)</f>
        <v>1110</v>
      </c>
    </row>
    <row r="370" customFormat="false" ht="14.25" hidden="false" customHeight="true" outlineLevel="0" collapsed="false">
      <c r="A370" s="15" t="n">
        <v>369</v>
      </c>
      <c r="B370" s="18" t="n">
        <v>46182</v>
      </c>
      <c r="C370" s="16" t="s">
        <v>101</v>
      </c>
      <c r="D370" s="16" t="s">
        <v>102</v>
      </c>
      <c r="E370" s="16" t="n">
        <v>118</v>
      </c>
      <c r="F370" s="16" t="s">
        <v>135</v>
      </c>
      <c r="G370" s="16" t="s">
        <v>42</v>
      </c>
      <c r="H370" s="16" t="n">
        <v>5</v>
      </c>
      <c r="I370" s="19" t="n">
        <f aca="false">IFERROR(IF(D370="Sale",H370*VLOOKUP(G370,Product_Master!$A:$F,6,FALSE()),IF(D370="Purchase",H370*VLOOKUP(G370,Product_Master!$A:$F,5,FALSE()),0)),0)</f>
        <v>560</v>
      </c>
    </row>
    <row r="371" customFormat="false" ht="14.25" hidden="false" customHeight="true" outlineLevel="0" collapsed="false">
      <c r="A371" s="15" t="n">
        <v>370</v>
      </c>
      <c r="B371" s="18" t="n">
        <v>46182</v>
      </c>
      <c r="C371" s="16" t="s">
        <v>101</v>
      </c>
      <c r="D371" s="16" t="s">
        <v>102</v>
      </c>
      <c r="E371" s="16" t="n">
        <v>118</v>
      </c>
      <c r="F371" s="16" t="s">
        <v>135</v>
      </c>
      <c r="G371" s="16" t="s">
        <v>43</v>
      </c>
      <c r="H371" s="16" t="n">
        <v>20</v>
      </c>
      <c r="I371" s="19" t="n">
        <f aca="false">IFERROR(IF(D371="Sale",H371*VLOOKUP(G371,Product_Master!$A:$F,6,FALSE()),IF(D371="Purchase",H371*VLOOKUP(G371,Product_Master!$A:$F,5,FALSE()),0)),0)</f>
        <v>3200</v>
      </c>
    </row>
    <row r="372" customFormat="false" ht="14.25" hidden="false" customHeight="true" outlineLevel="0" collapsed="false">
      <c r="A372" s="15" t="n">
        <v>371</v>
      </c>
      <c r="B372" s="18" t="n">
        <v>46182</v>
      </c>
      <c r="C372" s="16" t="s">
        <v>101</v>
      </c>
      <c r="D372" s="16" t="s">
        <v>102</v>
      </c>
      <c r="E372" s="16" t="n">
        <v>118</v>
      </c>
      <c r="F372" s="16" t="s">
        <v>135</v>
      </c>
      <c r="G372" s="16" t="s">
        <v>45</v>
      </c>
      <c r="H372" s="16" t="n">
        <v>10</v>
      </c>
      <c r="I372" s="19" t="n">
        <f aca="false">IFERROR(IF(D372="Sale",H372*VLOOKUP(G372,Product_Master!$A:$F,6,FALSE()),IF(D372="Purchase",H372*VLOOKUP(G372,Product_Master!$A:$F,5,FALSE()),0)),0)</f>
        <v>1850</v>
      </c>
    </row>
    <row r="373" customFormat="false" ht="14.25" hidden="false" customHeight="true" outlineLevel="0" collapsed="false">
      <c r="A373" s="15" t="n">
        <v>372</v>
      </c>
      <c r="B373" s="18" t="n">
        <v>46182</v>
      </c>
      <c r="C373" s="16" t="s">
        <v>101</v>
      </c>
      <c r="D373" s="16" t="s">
        <v>102</v>
      </c>
      <c r="E373" s="16" t="n">
        <v>118</v>
      </c>
      <c r="F373" s="16" t="s">
        <v>135</v>
      </c>
      <c r="G373" s="16" t="s">
        <v>48</v>
      </c>
      <c r="H373" s="16" t="n">
        <v>20</v>
      </c>
      <c r="I373" s="19" t="n">
        <f aca="false">IFERROR(IF(D373="Sale",H373*VLOOKUP(G373,Product_Master!$A:$F,6,FALSE()),IF(D373="Purchase",H373*VLOOKUP(G373,Product_Master!$A:$F,5,FALSE()),0)),0)</f>
        <v>2600</v>
      </c>
    </row>
    <row r="374" customFormat="false" ht="14.25" hidden="false" customHeight="true" outlineLevel="0" collapsed="false">
      <c r="A374" s="15" t="n">
        <v>373</v>
      </c>
      <c r="B374" s="18" t="n">
        <v>46182</v>
      </c>
      <c r="C374" s="16" t="s">
        <v>101</v>
      </c>
      <c r="D374" s="16" t="s">
        <v>102</v>
      </c>
      <c r="E374" s="16" t="n">
        <v>118</v>
      </c>
      <c r="F374" s="16" t="s">
        <v>135</v>
      </c>
      <c r="G374" s="16" t="s">
        <v>49</v>
      </c>
      <c r="H374" s="16" t="n">
        <v>3.5</v>
      </c>
      <c r="I374" s="19" t="n">
        <f aca="false">IFERROR(IF(D374="Sale",H374*VLOOKUP(G374,Product_Master!$A:$F,6,FALSE()),IF(D374="Purchase",H374*VLOOKUP(G374,Product_Master!$A:$F,5,FALSE()),0)),0)</f>
        <v>427</v>
      </c>
    </row>
    <row r="375" customFormat="false" ht="14.25" hidden="false" customHeight="true" outlineLevel="0" collapsed="false">
      <c r="A375" s="15" t="n">
        <v>374</v>
      </c>
      <c r="B375" s="18" t="n">
        <v>46182</v>
      </c>
      <c r="C375" s="16" t="s">
        <v>101</v>
      </c>
      <c r="D375" s="16" t="s">
        <v>102</v>
      </c>
      <c r="E375" s="16" t="n">
        <v>118</v>
      </c>
      <c r="F375" s="16" t="s">
        <v>135</v>
      </c>
      <c r="G375" s="16" t="s">
        <v>59</v>
      </c>
      <c r="H375" s="16" t="n">
        <v>12.5</v>
      </c>
      <c r="I375" s="19" t="n">
        <f aca="false">IFERROR(IF(D375="Sale",H375*VLOOKUP(G375,Product_Master!$A:$F,6,FALSE()),IF(D375="Purchase",H375*VLOOKUP(G375,Product_Master!$A:$F,5,FALSE()),0)),0)</f>
        <v>1850</v>
      </c>
    </row>
    <row r="376" customFormat="false" ht="14.25" hidden="false" customHeight="true" outlineLevel="0" collapsed="false">
      <c r="A376" s="15" t="n">
        <v>375</v>
      </c>
      <c r="B376" s="18" t="n">
        <v>46182</v>
      </c>
      <c r="C376" s="16" t="s">
        <v>101</v>
      </c>
      <c r="D376" s="16" t="s">
        <v>102</v>
      </c>
      <c r="E376" s="16" t="n">
        <v>118</v>
      </c>
      <c r="F376" s="16" t="s">
        <v>135</v>
      </c>
      <c r="G376" s="16" t="s">
        <v>91</v>
      </c>
      <c r="H376" s="16" t="n">
        <v>11</v>
      </c>
      <c r="I376" s="19" t="n">
        <f aca="false">IFERROR(IF(D376="Sale",H376*VLOOKUP(G376,Product_Master!$A:$F,6,FALSE()),IF(D376="Purchase",H376*VLOOKUP(G376,Product_Master!$A:$F,5,FALSE()),0)),0)</f>
        <v>2970</v>
      </c>
    </row>
    <row r="377" customFormat="false" ht="14.25" hidden="false" customHeight="true" outlineLevel="0" collapsed="false">
      <c r="A377" s="15" t="n">
        <v>376</v>
      </c>
      <c r="B377" s="18" t="n">
        <v>46182</v>
      </c>
      <c r="C377" s="16" t="s">
        <v>101</v>
      </c>
      <c r="D377" s="16" t="s">
        <v>102</v>
      </c>
      <c r="E377" s="16" t="n">
        <v>118</v>
      </c>
      <c r="F377" s="16" t="s">
        <v>135</v>
      </c>
      <c r="G377" s="16" t="s">
        <v>92</v>
      </c>
      <c r="H377" s="16" t="n">
        <v>10</v>
      </c>
      <c r="I377" s="19" t="n">
        <f aca="false">IFERROR(IF(D377="Sale",H377*VLOOKUP(G377,Product_Master!$A:$F,6,FALSE()),IF(D377="Purchase",H377*VLOOKUP(G377,Product_Master!$A:$F,5,FALSE()),0)),0)</f>
        <v>2450</v>
      </c>
    </row>
    <row r="378" customFormat="false" ht="14.25" hidden="false" customHeight="true" outlineLevel="0" collapsed="false">
      <c r="A378" s="15" t="n">
        <v>377</v>
      </c>
      <c r="B378" s="18" t="n">
        <v>46182</v>
      </c>
      <c r="C378" s="16" t="s">
        <v>101</v>
      </c>
      <c r="D378" s="16" t="s">
        <v>102</v>
      </c>
      <c r="E378" s="16" t="n">
        <v>119</v>
      </c>
      <c r="F378" s="16" t="s">
        <v>135</v>
      </c>
      <c r="G378" s="16" t="s">
        <v>75</v>
      </c>
      <c r="H378" s="16" t="n">
        <v>5</v>
      </c>
      <c r="I378" s="19" t="n">
        <f aca="false">IFERROR(IF(D378="Sale",H378*VLOOKUP(G378,Product_Master!$A:$F,6,FALSE()),IF(D378="Purchase",H378*VLOOKUP(G378,Product_Master!$A:$F,5,FALSE()),0)),0)</f>
        <v>4500</v>
      </c>
    </row>
    <row r="379" customFormat="false" ht="14.25" hidden="false" customHeight="true" outlineLevel="0" collapsed="false">
      <c r="A379" s="15" t="n">
        <v>378</v>
      </c>
      <c r="B379" s="18" t="n">
        <v>46182</v>
      </c>
      <c r="C379" s="16" t="s">
        <v>101</v>
      </c>
      <c r="D379" s="16" t="s">
        <v>102</v>
      </c>
      <c r="E379" s="16" t="n">
        <v>178</v>
      </c>
      <c r="F379" s="16" t="s">
        <v>152</v>
      </c>
      <c r="G379" s="16" t="s">
        <v>38</v>
      </c>
      <c r="H379" s="16" t="n">
        <v>220</v>
      </c>
      <c r="I379" s="19" t="n">
        <f aca="false">IFERROR(IF(D379="Sale",H379*VLOOKUP(G379,Product_Master!$A:$F,6,FALSE()),IF(D379="Purchase",H379*VLOOKUP(G379,Product_Master!$A:$F,5,FALSE()),0)),0)</f>
        <v>20460</v>
      </c>
    </row>
    <row r="380" customFormat="false" ht="14.25" hidden="false" customHeight="true" outlineLevel="0" collapsed="false">
      <c r="A380" s="15" t="n">
        <v>379</v>
      </c>
      <c r="B380" s="18" t="n">
        <v>46182</v>
      </c>
      <c r="C380" s="16" t="s">
        <v>101</v>
      </c>
      <c r="D380" s="16" t="s">
        <v>102</v>
      </c>
      <c r="E380" s="16" t="n">
        <v>179</v>
      </c>
      <c r="F380" s="16" t="s">
        <v>184</v>
      </c>
      <c r="G380" s="16" t="s">
        <v>59</v>
      </c>
      <c r="H380" s="16" t="n">
        <v>400</v>
      </c>
      <c r="I380" s="19" t="n">
        <f aca="false">IFERROR(IF(D380="Sale",H380*VLOOKUP(G380,Product_Master!$A:$F,6,FALSE()),IF(D380="Purchase",H380*VLOOKUP(G380,Product_Master!$A:$F,5,FALSE()),0)),0)</f>
        <v>59200</v>
      </c>
    </row>
    <row r="381" customFormat="false" ht="14.25" hidden="false" customHeight="true" outlineLevel="0" collapsed="false">
      <c r="A381" s="15" t="n">
        <v>380</v>
      </c>
      <c r="B381" s="18" t="n">
        <v>46182</v>
      </c>
      <c r="C381" s="16" t="s">
        <v>101</v>
      </c>
      <c r="D381" s="16" t="s">
        <v>102</v>
      </c>
      <c r="E381" s="16" t="n">
        <v>180</v>
      </c>
      <c r="F381" s="16" t="s">
        <v>126</v>
      </c>
      <c r="G381" s="16" t="s">
        <v>41</v>
      </c>
      <c r="H381" s="16" t="n">
        <v>360</v>
      </c>
      <c r="I381" s="19" t="n">
        <f aca="false">IFERROR(IF(D381="Sale",H381*VLOOKUP(G381,Product_Master!$A:$F,6,FALSE()),IF(D381="Purchase",H381*VLOOKUP(G381,Product_Master!$A:$F,5,FALSE()),0)),0)</f>
        <v>39960</v>
      </c>
    </row>
    <row r="382" customFormat="false" ht="14.25" hidden="false" customHeight="true" outlineLevel="0" collapsed="false">
      <c r="A382" s="15" t="n">
        <v>381</v>
      </c>
      <c r="B382" s="18" t="n">
        <v>46182</v>
      </c>
      <c r="C382" s="16" t="s">
        <v>101</v>
      </c>
      <c r="D382" s="16" t="s">
        <v>102</v>
      </c>
      <c r="E382" s="16" t="n">
        <v>180</v>
      </c>
      <c r="F382" s="16" t="s">
        <v>126</v>
      </c>
      <c r="G382" s="16" t="s">
        <v>50</v>
      </c>
      <c r="H382" s="16" t="n">
        <v>200</v>
      </c>
      <c r="I382" s="19" t="n">
        <f aca="false">IFERROR(IF(D382="Sale",H382*VLOOKUP(G382,Product_Master!$A:$F,6,FALSE()),IF(D382="Purchase",H382*VLOOKUP(G382,Product_Master!$A:$F,5,FALSE()),0)),0)</f>
        <v>45000</v>
      </c>
    </row>
    <row r="383" customFormat="false" ht="14.25" hidden="false" customHeight="true" outlineLevel="0" collapsed="false">
      <c r="A383" s="15" t="n">
        <v>382</v>
      </c>
      <c r="B383" s="18" t="n">
        <v>46182</v>
      </c>
      <c r="C383" s="16" t="s">
        <v>101</v>
      </c>
      <c r="D383" s="16" t="s">
        <v>102</v>
      </c>
      <c r="E383" s="16" t="n">
        <v>180</v>
      </c>
      <c r="F383" s="16" t="s">
        <v>126</v>
      </c>
      <c r="G383" s="16" t="s">
        <v>53</v>
      </c>
      <c r="H383" s="16" t="n">
        <v>300</v>
      </c>
      <c r="I383" s="19" t="n">
        <f aca="false">IFERROR(IF(D383="Sale",H383*VLOOKUP(G383,Product_Master!$A:$F,6,FALSE()),IF(D383="Purchase",H383*VLOOKUP(G383,Product_Master!$A:$F,5,FALSE()),0)),0)</f>
        <v>25500</v>
      </c>
    </row>
    <row r="384" customFormat="false" ht="14.25" hidden="false" customHeight="true" outlineLevel="0" collapsed="false">
      <c r="A384" s="15" t="n">
        <v>383</v>
      </c>
      <c r="B384" s="18" t="n">
        <v>46182</v>
      </c>
      <c r="C384" s="16" t="s">
        <v>101</v>
      </c>
      <c r="D384" s="16" t="s">
        <v>102</v>
      </c>
      <c r="E384" s="16" t="n">
        <v>181</v>
      </c>
      <c r="F384" s="16" t="s">
        <v>116</v>
      </c>
      <c r="G384" s="16" t="s">
        <v>40</v>
      </c>
      <c r="H384" s="16" t="n">
        <v>240</v>
      </c>
      <c r="I384" s="19" t="n">
        <f aca="false">IFERROR(IF(D384="Sale",H384*VLOOKUP(G384,Product_Master!$A:$F,6,FALSE()),IF(D384="Purchase",H384*VLOOKUP(G384,Product_Master!$A:$F,5,FALSE()),0)),0)</f>
        <v>24480</v>
      </c>
    </row>
    <row r="385" customFormat="false" ht="14.25" hidden="false" customHeight="true" outlineLevel="0" collapsed="false">
      <c r="A385" s="15" t="n">
        <v>384</v>
      </c>
      <c r="B385" s="18" t="n">
        <v>46182</v>
      </c>
      <c r="C385" s="16" t="s">
        <v>101</v>
      </c>
      <c r="D385" s="16" t="s">
        <v>102</v>
      </c>
      <c r="E385" s="16" t="n">
        <v>181</v>
      </c>
      <c r="F385" s="16" t="s">
        <v>116</v>
      </c>
      <c r="G385" s="16" t="s">
        <v>41</v>
      </c>
      <c r="H385" s="16" t="n">
        <v>240</v>
      </c>
      <c r="I385" s="19" t="n">
        <f aca="false">IFERROR(IF(D385="Sale",H385*VLOOKUP(G385,Product_Master!$A:$F,6,FALSE()),IF(D385="Purchase",H385*VLOOKUP(G385,Product_Master!$A:$F,5,FALSE()),0)),0)</f>
        <v>26640</v>
      </c>
    </row>
    <row r="386" customFormat="false" ht="14.25" hidden="false" customHeight="true" outlineLevel="0" collapsed="false">
      <c r="A386" s="15" t="n">
        <v>385</v>
      </c>
      <c r="B386" s="18" t="n">
        <v>46182</v>
      </c>
      <c r="C386" s="16" t="s">
        <v>101</v>
      </c>
      <c r="D386" s="16" t="s">
        <v>102</v>
      </c>
      <c r="E386" s="16" t="n">
        <v>182</v>
      </c>
      <c r="F386" s="16" t="s">
        <v>116</v>
      </c>
      <c r="G386" s="16" t="s">
        <v>40</v>
      </c>
      <c r="H386" s="16" t="n">
        <v>240</v>
      </c>
      <c r="I386" s="19" t="n">
        <f aca="false">IFERROR(IF(D386="Sale",H386*VLOOKUP(G386,Product_Master!$A:$F,6,FALSE()),IF(D386="Purchase",H386*VLOOKUP(G386,Product_Master!$A:$F,5,FALSE()),0)),0)</f>
        <v>24480</v>
      </c>
    </row>
    <row r="387" customFormat="false" ht="14.25" hidden="false" customHeight="true" outlineLevel="0" collapsed="false">
      <c r="A387" s="15" t="n">
        <v>386</v>
      </c>
      <c r="B387" s="18" t="n">
        <v>46182</v>
      </c>
      <c r="C387" s="16" t="s">
        <v>101</v>
      </c>
      <c r="D387" s="16" t="s">
        <v>102</v>
      </c>
      <c r="E387" s="16" t="n">
        <v>182</v>
      </c>
      <c r="F387" s="16" t="s">
        <v>116</v>
      </c>
      <c r="G387" s="16" t="s">
        <v>41</v>
      </c>
      <c r="H387" s="16" t="n">
        <v>240</v>
      </c>
      <c r="I387" s="19" t="n">
        <f aca="false">IFERROR(IF(D387="Sale",H387*VLOOKUP(G387,Product_Master!$A:$F,6,FALSE()),IF(D387="Purchase",H387*VLOOKUP(G387,Product_Master!$A:$F,5,FALSE()),0)),0)</f>
        <v>26640</v>
      </c>
    </row>
    <row r="388" customFormat="false" ht="14.25" hidden="false" customHeight="true" outlineLevel="0" collapsed="false">
      <c r="A388" s="15" t="n">
        <v>387</v>
      </c>
      <c r="B388" s="18" t="n">
        <v>46183</v>
      </c>
      <c r="C388" s="16" t="s">
        <v>101</v>
      </c>
      <c r="D388" s="16" t="s">
        <v>102</v>
      </c>
      <c r="E388" s="16" t="n">
        <v>183</v>
      </c>
      <c r="F388" s="16" t="s">
        <v>133</v>
      </c>
      <c r="G388" s="16" t="s">
        <v>53</v>
      </c>
      <c r="H388" s="16" t="n">
        <v>250</v>
      </c>
      <c r="I388" s="19" t="n">
        <f aca="false">IFERROR(IF(D388="Sale",H388*VLOOKUP(G388,Product_Master!$A:$F,6,FALSE()),IF(D388="Purchase",H388*VLOOKUP(G388,Product_Master!$A:$F,5,FALSE()),0)),0)</f>
        <v>21250</v>
      </c>
    </row>
    <row r="389" customFormat="false" ht="14.25" hidden="false" customHeight="true" outlineLevel="0" collapsed="false">
      <c r="A389" s="15" t="n">
        <v>388</v>
      </c>
      <c r="B389" s="18" t="n">
        <v>46183</v>
      </c>
      <c r="C389" s="16" t="s">
        <v>101</v>
      </c>
      <c r="D389" s="16" t="s">
        <v>102</v>
      </c>
      <c r="E389" s="16" t="n">
        <v>184</v>
      </c>
      <c r="F389" s="16" t="s">
        <v>158</v>
      </c>
      <c r="G389" s="16" t="s">
        <v>60</v>
      </c>
      <c r="H389" s="16" t="n">
        <v>120</v>
      </c>
      <c r="I389" s="19" t="n">
        <f aca="false">IFERROR(IF(D389="Sale",H389*VLOOKUP(G389,Product_Master!$A:$F,6,FALSE()),IF(D389="Purchase",H389*VLOOKUP(G389,Product_Master!$A:$F,5,FALSE()),0)),0)</f>
        <v>23760</v>
      </c>
    </row>
    <row r="390" customFormat="false" ht="14.25" hidden="false" customHeight="true" outlineLevel="0" collapsed="false">
      <c r="A390" s="15" t="n">
        <v>389</v>
      </c>
      <c r="B390" s="18" t="n">
        <v>46183</v>
      </c>
      <c r="C390" s="16" t="s">
        <v>101</v>
      </c>
      <c r="D390" s="16" t="s">
        <v>102</v>
      </c>
      <c r="E390" s="16" t="n">
        <v>185</v>
      </c>
      <c r="F390" s="16" t="s">
        <v>122</v>
      </c>
      <c r="G390" s="16" t="s">
        <v>60</v>
      </c>
      <c r="H390" s="16" t="n">
        <v>120</v>
      </c>
      <c r="I390" s="19" t="n">
        <f aca="false">IFERROR(IF(D390="Sale",H390*VLOOKUP(G390,Product_Master!$A:$F,6,FALSE()),IF(D390="Purchase",H390*VLOOKUP(G390,Product_Master!$A:$F,5,FALSE()),0)),0)</f>
        <v>23760</v>
      </c>
    </row>
    <row r="391" customFormat="false" ht="14.25" hidden="false" customHeight="true" outlineLevel="0" collapsed="false">
      <c r="A391" s="15" t="n">
        <v>390</v>
      </c>
      <c r="B391" s="18" t="n">
        <v>46183</v>
      </c>
      <c r="C391" s="16" t="s">
        <v>101</v>
      </c>
      <c r="D391" s="16" t="s">
        <v>102</v>
      </c>
      <c r="E391" s="16" t="n">
        <v>186</v>
      </c>
      <c r="F391" s="16" t="s">
        <v>182</v>
      </c>
      <c r="G391" s="16" t="s">
        <v>41</v>
      </c>
      <c r="H391" s="16" t="n">
        <v>120</v>
      </c>
      <c r="I391" s="19" t="n">
        <f aca="false">IFERROR(IF(D391="Sale",H391*VLOOKUP(G391,Product_Master!$A:$F,6,FALSE()),IF(D391="Purchase",H391*VLOOKUP(G391,Product_Master!$A:$F,5,FALSE()),0)),0)</f>
        <v>13320</v>
      </c>
    </row>
    <row r="392" customFormat="false" ht="14.25" hidden="false" customHeight="true" outlineLevel="0" collapsed="false">
      <c r="A392" s="15" t="n">
        <v>391</v>
      </c>
      <c r="B392" s="18" t="n">
        <v>46184</v>
      </c>
      <c r="C392" s="16" t="s">
        <v>101</v>
      </c>
      <c r="D392" s="16" t="s">
        <v>102</v>
      </c>
      <c r="E392" s="16" t="n">
        <v>120</v>
      </c>
      <c r="F392" s="16" t="s">
        <v>135</v>
      </c>
      <c r="G392" s="16" t="s">
        <v>38</v>
      </c>
      <c r="H392" s="16" t="n">
        <v>10</v>
      </c>
      <c r="I392" s="19" t="n">
        <f aca="false">IFERROR(IF(D392="Sale",H392*VLOOKUP(G392,Product_Master!$A:$F,6,FALSE()),IF(D392="Purchase",H392*VLOOKUP(G392,Product_Master!$A:$F,5,FALSE()),0)),0)</f>
        <v>930</v>
      </c>
    </row>
    <row r="393" customFormat="false" ht="14.25" hidden="false" customHeight="true" outlineLevel="0" collapsed="false">
      <c r="A393" s="15" t="n">
        <v>392</v>
      </c>
      <c r="B393" s="18" t="n">
        <v>46184</v>
      </c>
      <c r="C393" s="16" t="s">
        <v>101</v>
      </c>
      <c r="D393" s="16" t="s">
        <v>102</v>
      </c>
      <c r="E393" s="16" t="n">
        <v>120</v>
      </c>
      <c r="F393" s="16" t="s">
        <v>135</v>
      </c>
      <c r="G393" s="16" t="s">
        <v>41</v>
      </c>
      <c r="H393" s="16" t="n">
        <v>10</v>
      </c>
      <c r="I393" s="19" t="n">
        <f aca="false">IFERROR(IF(D393="Sale",H393*VLOOKUP(G393,Product_Master!$A:$F,6,FALSE()),IF(D393="Purchase",H393*VLOOKUP(G393,Product_Master!$A:$F,5,FALSE()),0)),0)</f>
        <v>1110</v>
      </c>
    </row>
    <row r="394" customFormat="false" ht="14.25" hidden="false" customHeight="true" outlineLevel="0" collapsed="false">
      <c r="A394" s="15" t="n">
        <v>393</v>
      </c>
      <c r="B394" s="18" t="n">
        <v>46184</v>
      </c>
      <c r="C394" s="16" t="s">
        <v>101</v>
      </c>
      <c r="D394" s="16" t="s">
        <v>102</v>
      </c>
      <c r="E394" s="16" t="n">
        <v>120</v>
      </c>
      <c r="F394" s="16" t="s">
        <v>135</v>
      </c>
      <c r="G394" s="16" t="s">
        <v>42</v>
      </c>
      <c r="H394" s="16" t="n">
        <v>5</v>
      </c>
      <c r="I394" s="19" t="n">
        <f aca="false">IFERROR(IF(D394="Sale",H394*VLOOKUP(G394,Product_Master!$A:$F,6,FALSE()),IF(D394="Purchase",H394*VLOOKUP(G394,Product_Master!$A:$F,5,FALSE()),0)),0)</f>
        <v>560</v>
      </c>
    </row>
    <row r="395" customFormat="false" ht="14.25" hidden="false" customHeight="true" outlineLevel="0" collapsed="false">
      <c r="A395" s="15" t="n">
        <v>394</v>
      </c>
      <c r="B395" s="18" t="n">
        <v>46184</v>
      </c>
      <c r="C395" s="16" t="s">
        <v>101</v>
      </c>
      <c r="D395" s="16" t="s">
        <v>102</v>
      </c>
      <c r="E395" s="16" t="n">
        <v>120</v>
      </c>
      <c r="F395" s="16" t="s">
        <v>135</v>
      </c>
      <c r="G395" s="16" t="s">
        <v>43</v>
      </c>
      <c r="H395" s="16" t="n">
        <v>20</v>
      </c>
      <c r="I395" s="19" t="n">
        <f aca="false">IFERROR(IF(D395="Sale",H395*VLOOKUP(G395,Product_Master!$A:$F,6,FALSE()),IF(D395="Purchase",H395*VLOOKUP(G395,Product_Master!$A:$F,5,FALSE()),0)),0)</f>
        <v>3200</v>
      </c>
    </row>
    <row r="396" customFormat="false" ht="14.25" hidden="false" customHeight="true" outlineLevel="0" collapsed="false">
      <c r="A396" s="15" t="n">
        <v>395</v>
      </c>
      <c r="B396" s="18" t="n">
        <v>46184</v>
      </c>
      <c r="C396" s="16" t="s">
        <v>101</v>
      </c>
      <c r="D396" s="16" t="s">
        <v>102</v>
      </c>
      <c r="E396" s="16" t="n">
        <v>120</v>
      </c>
      <c r="F396" s="16" t="s">
        <v>135</v>
      </c>
      <c r="G396" s="16" t="s">
        <v>45</v>
      </c>
      <c r="H396" s="16" t="n">
        <v>10</v>
      </c>
      <c r="I396" s="19" t="n">
        <f aca="false">IFERROR(IF(D396="Sale",H396*VLOOKUP(G396,Product_Master!$A:$F,6,FALSE()),IF(D396="Purchase",H396*VLOOKUP(G396,Product_Master!$A:$F,5,FALSE()),0)),0)</f>
        <v>1850</v>
      </c>
    </row>
    <row r="397" customFormat="false" ht="14.25" hidden="false" customHeight="true" outlineLevel="0" collapsed="false">
      <c r="A397" s="15" t="n">
        <v>396</v>
      </c>
      <c r="B397" s="18" t="n">
        <v>46184</v>
      </c>
      <c r="C397" s="16" t="s">
        <v>101</v>
      </c>
      <c r="D397" s="16" t="s">
        <v>102</v>
      </c>
      <c r="E397" s="16" t="n">
        <v>120</v>
      </c>
      <c r="F397" s="16" t="s">
        <v>135</v>
      </c>
      <c r="G397" s="16" t="s">
        <v>48</v>
      </c>
      <c r="H397" s="16" t="n">
        <v>20</v>
      </c>
      <c r="I397" s="19" t="n">
        <f aca="false">IFERROR(IF(D397="Sale",H397*VLOOKUP(G397,Product_Master!$A:$F,6,FALSE()),IF(D397="Purchase",H397*VLOOKUP(G397,Product_Master!$A:$F,5,FALSE()),0)),0)</f>
        <v>2600</v>
      </c>
    </row>
    <row r="398" customFormat="false" ht="14.25" hidden="false" customHeight="true" outlineLevel="0" collapsed="false">
      <c r="A398" s="15" t="n">
        <v>397</v>
      </c>
      <c r="B398" s="18" t="n">
        <v>46184</v>
      </c>
      <c r="C398" s="16" t="s">
        <v>101</v>
      </c>
      <c r="D398" s="16" t="s">
        <v>102</v>
      </c>
      <c r="E398" s="16" t="n">
        <v>120</v>
      </c>
      <c r="F398" s="16" t="s">
        <v>135</v>
      </c>
      <c r="G398" s="16" t="s">
        <v>49</v>
      </c>
      <c r="H398" s="16" t="n">
        <v>3.5</v>
      </c>
      <c r="I398" s="19" t="n">
        <f aca="false">IFERROR(IF(D398="Sale",H398*VLOOKUP(G398,Product_Master!$A:$F,6,FALSE()),IF(D398="Purchase",H398*VLOOKUP(G398,Product_Master!$A:$F,5,FALSE()),0)),0)</f>
        <v>427</v>
      </c>
    </row>
    <row r="399" customFormat="false" ht="14.25" hidden="false" customHeight="true" outlineLevel="0" collapsed="false">
      <c r="A399" s="15" t="n">
        <v>398</v>
      </c>
      <c r="B399" s="18" t="n">
        <v>46184</v>
      </c>
      <c r="C399" s="16" t="s">
        <v>101</v>
      </c>
      <c r="D399" s="16" t="s">
        <v>102</v>
      </c>
      <c r="E399" s="16" t="n">
        <v>120</v>
      </c>
      <c r="F399" s="16" t="s">
        <v>135</v>
      </c>
      <c r="G399" s="16" t="s">
        <v>91</v>
      </c>
      <c r="H399" s="16" t="n">
        <v>11</v>
      </c>
      <c r="I399" s="19" t="n">
        <f aca="false">IFERROR(IF(D399="Sale",H399*VLOOKUP(G399,Product_Master!$A:$F,6,FALSE()),IF(D399="Purchase",H399*VLOOKUP(G399,Product_Master!$A:$F,5,FALSE()),0)),0)</f>
        <v>2970</v>
      </c>
    </row>
    <row r="400" customFormat="false" ht="14.25" hidden="false" customHeight="true" outlineLevel="0" collapsed="false">
      <c r="A400" s="15" t="n">
        <v>399</v>
      </c>
      <c r="B400" s="18" t="n">
        <v>46184</v>
      </c>
      <c r="C400" s="16" t="s">
        <v>101</v>
      </c>
      <c r="D400" s="16" t="s">
        <v>102</v>
      </c>
      <c r="E400" s="16" t="n">
        <v>187</v>
      </c>
      <c r="F400" s="16" t="s">
        <v>185</v>
      </c>
      <c r="G400" s="16" t="s">
        <v>38</v>
      </c>
      <c r="H400" s="16" t="n">
        <v>110</v>
      </c>
      <c r="I400" s="19" t="n">
        <f aca="false">IFERROR(IF(D400="Sale",H400*VLOOKUP(G400,Product_Master!$A:$F,6,FALSE()),IF(D400="Purchase",H400*VLOOKUP(G400,Product_Master!$A:$F,5,FALSE()),0)),0)</f>
        <v>10230</v>
      </c>
    </row>
    <row r="401" customFormat="false" ht="14.25" hidden="false" customHeight="true" outlineLevel="0" collapsed="false">
      <c r="A401" s="15" t="n">
        <v>400</v>
      </c>
      <c r="B401" s="18" t="n">
        <v>46184</v>
      </c>
      <c r="C401" s="16" t="s">
        <v>101</v>
      </c>
      <c r="D401" s="16" t="s">
        <v>102</v>
      </c>
      <c r="E401" s="16" t="n">
        <v>188</v>
      </c>
      <c r="F401" s="16" t="s">
        <v>127</v>
      </c>
      <c r="G401" s="16" t="s">
        <v>49</v>
      </c>
      <c r="H401" s="16" t="n">
        <v>60</v>
      </c>
      <c r="I401" s="19" t="n">
        <f aca="false">IFERROR(IF(D401="Sale",H401*VLOOKUP(G401,Product_Master!$A:$F,6,FALSE()),IF(D401="Purchase",H401*VLOOKUP(G401,Product_Master!$A:$F,5,FALSE()),0)),0)</f>
        <v>7320</v>
      </c>
    </row>
    <row r="402" customFormat="false" ht="14.25" hidden="false" customHeight="true" outlineLevel="0" collapsed="false">
      <c r="A402" s="15" t="n">
        <v>401</v>
      </c>
      <c r="B402" s="18" t="n">
        <v>46184</v>
      </c>
      <c r="C402" s="16" t="s">
        <v>101</v>
      </c>
      <c r="D402" s="16" t="s">
        <v>102</v>
      </c>
      <c r="E402" s="16" t="n">
        <v>188</v>
      </c>
      <c r="F402" s="16" t="s">
        <v>127</v>
      </c>
      <c r="G402" s="16" t="s">
        <v>50</v>
      </c>
      <c r="H402" s="16" t="n">
        <v>75</v>
      </c>
      <c r="I402" s="19" t="n">
        <f aca="false">IFERROR(IF(D402="Sale",H402*VLOOKUP(G402,Product_Master!$A:$F,6,FALSE()),IF(D402="Purchase",H402*VLOOKUP(G402,Product_Master!$A:$F,5,FALSE()),0)),0)</f>
        <v>16875</v>
      </c>
    </row>
    <row r="403" customFormat="false" ht="14.25" hidden="false" customHeight="true" outlineLevel="0" collapsed="false">
      <c r="A403" s="15" t="n">
        <v>402</v>
      </c>
      <c r="B403" s="18" t="n">
        <v>46184</v>
      </c>
      <c r="C403" s="16" t="s">
        <v>101</v>
      </c>
      <c r="D403" s="16" t="s">
        <v>102</v>
      </c>
      <c r="E403" s="16" t="n">
        <v>189</v>
      </c>
      <c r="F403" s="16" t="s">
        <v>145</v>
      </c>
      <c r="G403" s="16" t="s">
        <v>51</v>
      </c>
      <c r="H403" s="16" t="n">
        <v>60</v>
      </c>
      <c r="I403" s="19" t="n">
        <f aca="false">IFERROR(IF(D403="Sale",H403*VLOOKUP(G403,Product_Master!$A:$F,6,FALSE()),IF(D403="Purchase",H403*VLOOKUP(G403,Product_Master!$A:$F,5,FALSE()),0)),0)</f>
        <v>16920</v>
      </c>
    </row>
    <row r="404" customFormat="false" ht="14.25" hidden="false" customHeight="true" outlineLevel="0" collapsed="false">
      <c r="A404" s="15" t="n">
        <v>403</v>
      </c>
      <c r="B404" s="18" t="n">
        <v>46185</v>
      </c>
      <c r="C404" s="16" t="s">
        <v>101</v>
      </c>
      <c r="D404" s="16" t="s">
        <v>102</v>
      </c>
      <c r="E404" s="16" t="n">
        <v>190</v>
      </c>
      <c r="F404" s="16" t="s">
        <v>138</v>
      </c>
      <c r="G404" s="16" t="s">
        <v>40</v>
      </c>
      <c r="H404" s="16" t="n">
        <v>120</v>
      </c>
      <c r="I404" s="19" t="n">
        <f aca="false">IFERROR(IF(D404="Sale",H404*VLOOKUP(G404,Product_Master!$A:$F,6,FALSE()),IF(D404="Purchase",H404*VLOOKUP(G404,Product_Master!$A:$F,5,FALSE()),0)),0)</f>
        <v>12240</v>
      </c>
    </row>
    <row r="405" customFormat="false" ht="14.25" hidden="false" customHeight="true" outlineLevel="0" collapsed="false">
      <c r="A405" s="15" t="n">
        <v>404</v>
      </c>
      <c r="B405" s="18" t="n">
        <v>46185</v>
      </c>
      <c r="C405" s="16" t="s">
        <v>101</v>
      </c>
      <c r="D405" s="16" t="s">
        <v>102</v>
      </c>
      <c r="E405" s="16" t="n">
        <v>191</v>
      </c>
      <c r="F405" s="16" t="s">
        <v>152</v>
      </c>
      <c r="G405" s="16" t="s">
        <v>53</v>
      </c>
      <c r="H405" s="16" t="n">
        <v>100</v>
      </c>
      <c r="I405" s="19" t="n">
        <f aca="false">IFERROR(IF(D405="Sale",H405*VLOOKUP(G405,Product_Master!$A:$F,6,FALSE()),IF(D405="Purchase",H405*VLOOKUP(G405,Product_Master!$A:$F,5,FALSE()),0)),0)</f>
        <v>8500</v>
      </c>
    </row>
    <row r="406" customFormat="false" ht="14.25" hidden="false" customHeight="true" outlineLevel="0" collapsed="false">
      <c r="A406" s="15" t="n">
        <v>405</v>
      </c>
      <c r="B406" s="18" t="n">
        <v>46185</v>
      </c>
      <c r="C406" s="16" t="s">
        <v>101</v>
      </c>
      <c r="D406" s="16" t="s">
        <v>102</v>
      </c>
      <c r="E406" s="16" t="n">
        <v>192</v>
      </c>
      <c r="F406" s="16" t="s">
        <v>123</v>
      </c>
      <c r="G406" s="16" t="s">
        <v>60</v>
      </c>
      <c r="H406" s="16" t="n">
        <v>120</v>
      </c>
      <c r="I406" s="19" t="n">
        <f aca="false">IFERROR(IF(D406="Sale",H406*VLOOKUP(G406,Product_Master!$A:$F,6,FALSE()),IF(D406="Purchase",H406*VLOOKUP(G406,Product_Master!$A:$F,5,FALSE()),0)),0)</f>
        <v>23760</v>
      </c>
    </row>
    <row r="407" customFormat="false" ht="14.25" hidden="false" customHeight="true" outlineLevel="0" collapsed="false">
      <c r="A407" s="15" t="n">
        <v>406</v>
      </c>
      <c r="B407" s="18" t="n">
        <v>46186</v>
      </c>
      <c r="C407" s="16" t="s">
        <v>101</v>
      </c>
      <c r="D407" s="16" t="s">
        <v>102</v>
      </c>
      <c r="E407" s="16" t="n">
        <v>121</v>
      </c>
      <c r="F407" s="16" t="s">
        <v>135</v>
      </c>
      <c r="G407" s="16" t="s">
        <v>38</v>
      </c>
      <c r="H407" s="16" t="n">
        <v>20</v>
      </c>
      <c r="I407" s="19" t="n">
        <f aca="false">IFERROR(IF(D407="Sale",H407*VLOOKUP(G407,Product_Master!$A:$F,6,FALSE()),IF(D407="Purchase",H407*VLOOKUP(G407,Product_Master!$A:$F,5,FALSE()),0)),0)</f>
        <v>1860</v>
      </c>
    </row>
    <row r="408" customFormat="false" ht="14.25" hidden="false" customHeight="true" outlineLevel="0" collapsed="false">
      <c r="A408" s="15" t="n">
        <v>407</v>
      </c>
      <c r="B408" s="18" t="n">
        <v>46186</v>
      </c>
      <c r="C408" s="16" t="s">
        <v>101</v>
      </c>
      <c r="D408" s="16" t="s">
        <v>102</v>
      </c>
      <c r="E408" s="16" t="n">
        <v>121</v>
      </c>
      <c r="F408" s="16" t="s">
        <v>135</v>
      </c>
      <c r="G408" s="16" t="s">
        <v>41</v>
      </c>
      <c r="H408" s="16" t="n">
        <v>20</v>
      </c>
      <c r="I408" s="19" t="n">
        <f aca="false">IFERROR(IF(D408="Sale",H408*VLOOKUP(G408,Product_Master!$A:$F,6,FALSE()),IF(D408="Purchase",H408*VLOOKUP(G408,Product_Master!$A:$F,5,FALSE()),0)),0)</f>
        <v>2220</v>
      </c>
    </row>
    <row r="409" customFormat="false" ht="14.25" hidden="false" customHeight="true" outlineLevel="0" collapsed="false">
      <c r="A409" s="15" t="n">
        <v>408</v>
      </c>
      <c r="B409" s="18" t="n">
        <v>46186</v>
      </c>
      <c r="C409" s="16" t="s">
        <v>101</v>
      </c>
      <c r="D409" s="16" t="s">
        <v>102</v>
      </c>
      <c r="E409" s="16" t="n">
        <v>121</v>
      </c>
      <c r="F409" s="16" t="s">
        <v>135</v>
      </c>
      <c r="G409" s="16" t="s">
        <v>42</v>
      </c>
      <c r="H409" s="16" t="n">
        <v>10</v>
      </c>
      <c r="I409" s="19" t="n">
        <f aca="false">IFERROR(IF(D409="Sale",H409*VLOOKUP(G409,Product_Master!$A:$F,6,FALSE()),IF(D409="Purchase",H409*VLOOKUP(G409,Product_Master!$A:$F,5,FALSE()),0)),0)</f>
        <v>1120</v>
      </c>
    </row>
    <row r="410" customFormat="false" ht="14.25" hidden="false" customHeight="true" outlineLevel="0" collapsed="false">
      <c r="A410" s="15" t="n">
        <v>409</v>
      </c>
      <c r="B410" s="18" t="n">
        <v>46186</v>
      </c>
      <c r="C410" s="16" t="s">
        <v>101</v>
      </c>
      <c r="D410" s="16" t="s">
        <v>102</v>
      </c>
      <c r="E410" s="16" t="n">
        <v>121</v>
      </c>
      <c r="F410" s="16" t="s">
        <v>135</v>
      </c>
      <c r="G410" s="16" t="s">
        <v>43</v>
      </c>
      <c r="H410" s="16" t="n">
        <v>40</v>
      </c>
      <c r="I410" s="19" t="n">
        <f aca="false">IFERROR(IF(D410="Sale",H410*VLOOKUP(G410,Product_Master!$A:$F,6,FALSE()),IF(D410="Purchase",H410*VLOOKUP(G410,Product_Master!$A:$F,5,FALSE()),0)),0)</f>
        <v>6400</v>
      </c>
    </row>
    <row r="411" customFormat="false" ht="14.25" hidden="false" customHeight="true" outlineLevel="0" collapsed="false">
      <c r="A411" s="15" t="n">
        <v>410</v>
      </c>
      <c r="B411" s="18" t="n">
        <v>46186</v>
      </c>
      <c r="C411" s="16" t="s">
        <v>101</v>
      </c>
      <c r="D411" s="16" t="s">
        <v>102</v>
      </c>
      <c r="E411" s="16" t="n">
        <v>121</v>
      </c>
      <c r="F411" s="16" t="s">
        <v>135</v>
      </c>
      <c r="G411" s="16" t="s">
        <v>45</v>
      </c>
      <c r="H411" s="16" t="n">
        <v>20</v>
      </c>
      <c r="I411" s="19" t="n">
        <f aca="false">IFERROR(IF(D411="Sale",H411*VLOOKUP(G411,Product_Master!$A:$F,6,FALSE()),IF(D411="Purchase",H411*VLOOKUP(G411,Product_Master!$A:$F,5,FALSE()),0)),0)</f>
        <v>3700</v>
      </c>
    </row>
    <row r="412" customFormat="false" ht="14.25" hidden="false" customHeight="true" outlineLevel="0" collapsed="false">
      <c r="A412" s="15" t="n">
        <v>411</v>
      </c>
      <c r="B412" s="18" t="n">
        <v>46186</v>
      </c>
      <c r="C412" s="16" t="s">
        <v>101</v>
      </c>
      <c r="D412" s="16" t="s">
        <v>102</v>
      </c>
      <c r="E412" s="16" t="n">
        <v>121</v>
      </c>
      <c r="F412" s="16" t="s">
        <v>135</v>
      </c>
      <c r="G412" s="16" t="s">
        <v>48</v>
      </c>
      <c r="H412" s="16" t="n">
        <v>40</v>
      </c>
      <c r="I412" s="19" t="n">
        <f aca="false">IFERROR(IF(D412="Sale",H412*VLOOKUP(G412,Product_Master!$A:$F,6,FALSE()),IF(D412="Purchase",H412*VLOOKUP(G412,Product_Master!$A:$F,5,FALSE()),0)),0)</f>
        <v>5200</v>
      </c>
    </row>
    <row r="413" customFormat="false" ht="14.25" hidden="false" customHeight="true" outlineLevel="0" collapsed="false">
      <c r="A413" s="15" t="n">
        <v>412</v>
      </c>
      <c r="B413" s="18" t="n">
        <v>46186</v>
      </c>
      <c r="C413" s="16" t="s">
        <v>101</v>
      </c>
      <c r="D413" s="16" t="s">
        <v>102</v>
      </c>
      <c r="E413" s="16" t="n">
        <v>121</v>
      </c>
      <c r="F413" s="16" t="s">
        <v>135</v>
      </c>
      <c r="G413" s="16" t="s">
        <v>49</v>
      </c>
      <c r="H413" s="16" t="n">
        <v>7</v>
      </c>
      <c r="I413" s="19" t="n">
        <f aca="false">IFERROR(IF(D413="Sale",H413*VLOOKUP(G413,Product_Master!$A:$F,6,FALSE()),IF(D413="Purchase",H413*VLOOKUP(G413,Product_Master!$A:$F,5,FALSE()),0)),0)</f>
        <v>854</v>
      </c>
    </row>
    <row r="414" customFormat="false" ht="14.25" hidden="false" customHeight="true" outlineLevel="0" collapsed="false">
      <c r="A414" s="15" t="n">
        <v>413</v>
      </c>
      <c r="B414" s="18" t="n">
        <v>46186</v>
      </c>
      <c r="C414" s="16" t="s">
        <v>101</v>
      </c>
      <c r="D414" s="16" t="s">
        <v>102</v>
      </c>
      <c r="E414" s="16" t="n">
        <v>121</v>
      </c>
      <c r="F414" s="16" t="s">
        <v>135</v>
      </c>
      <c r="G414" s="16" t="s">
        <v>91</v>
      </c>
      <c r="H414" s="16" t="n">
        <v>22</v>
      </c>
      <c r="I414" s="19" t="n">
        <f aca="false">IFERROR(IF(D414="Sale",H414*VLOOKUP(G414,Product_Master!$A:$F,6,FALSE()),IF(D414="Purchase",H414*VLOOKUP(G414,Product_Master!$A:$F,5,FALSE()),0)),0)</f>
        <v>5940</v>
      </c>
    </row>
    <row r="415" customFormat="false" ht="14.25" hidden="false" customHeight="true" outlineLevel="0" collapsed="false">
      <c r="A415" s="15" t="n">
        <v>414</v>
      </c>
      <c r="B415" s="18" t="n">
        <v>46186</v>
      </c>
      <c r="C415" s="16" t="s">
        <v>101</v>
      </c>
      <c r="D415" s="16" t="s">
        <v>102</v>
      </c>
      <c r="E415" s="16" t="n">
        <v>193</v>
      </c>
      <c r="F415" s="16" t="s">
        <v>115</v>
      </c>
      <c r="G415" s="16" t="s">
        <v>41</v>
      </c>
      <c r="H415" s="16" t="n">
        <v>240</v>
      </c>
      <c r="I415" s="19" t="n">
        <f aca="false">IFERROR(IF(D415="Sale",H415*VLOOKUP(G415,Product_Master!$A:$F,6,FALSE()),IF(D415="Purchase",H415*VLOOKUP(G415,Product_Master!$A:$F,5,FALSE()),0)),0)</f>
        <v>26640</v>
      </c>
    </row>
    <row r="416" customFormat="false" ht="14.25" hidden="false" customHeight="true" outlineLevel="0" collapsed="false">
      <c r="A416" s="15" t="n">
        <v>415</v>
      </c>
      <c r="B416" s="18" t="n">
        <v>46186</v>
      </c>
      <c r="C416" s="16" t="s">
        <v>101</v>
      </c>
      <c r="D416" s="16" t="s">
        <v>102</v>
      </c>
      <c r="E416" s="16" t="n">
        <v>194</v>
      </c>
      <c r="F416" s="16" t="s">
        <v>147</v>
      </c>
      <c r="G416" s="16" t="s">
        <v>38</v>
      </c>
      <c r="H416" s="16" t="n">
        <v>110</v>
      </c>
      <c r="I416" s="19" t="n">
        <f aca="false">IFERROR(IF(D416="Sale",H416*VLOOKUP(G416,Product_Master!$A:$F,6,FALSE()),IF(D416="Purchase",H416*VLOOKUP(G416,Product_Master!$A:$F,5,FALSE()),0)),0)</f>
        <v>10230</v>
      </c>
    </row>
    <row r="417" customFormat="false" ht="14.25" hidden="false" customHeight="true" outlineLevel="0" collapsed="false">
      <c r="A417" s="15" t="n">
        <v>416</v>
      </c>
      <c r="B417" s="18" t="n">
        <v>46186</v>
      </c>
      <c r="C417" s="16" t="s">
        <v>101</v>
      </c>
      <c r="D417" s="16" t="s">
        <v>102</v>
      </c>
      <c r="E417" s="16" t="n">
        <v>194</v>
      </c>
      <c r="F417" s="16" t="s">
        <v>147</v>
      </c>
      <c r="G417" s="16" t="s">
        <v>43</v>
      </c>
      <c r="H417" s="16" t="n">
        <v>120</v>
      </c>
      <c r="I417" s="19" t="n">
        <f aca="false">IFERROR(IF(D417="Sale",H417*VLOOKUP(G417,Product_Master!$A:$F,6,FALSE()),IF(D417="Purchase",H417*VLOOKUP(G417,Product_Master!$A:$F,5,FALSE()),0)),0)</f>
        <v>19200</v>
      </c>
    </row>
    <row r="418" customFormat="false" ht="14.25" hidden="false" customHeight="true" outlineLevel="0" collapsed="false">
      <c r="A418" s="15" t="n">
        <v>417</v>
      </c>
      <c r="B418" s="18" t="n">
        <v>46188</v>
      </c>
      <c r="C418" s="16" t="s">
        <v>101</v>
      </c>
      <c r="D418" s="16" t="s">
        <v>102</v>
      </c>
      <c r="E418" s="16" t="n">
        <v>122</v>
      </c>
      <c r="F418" s="16" t="s">
        <v>135</v>
      </c>
      <c r="G418" s="16" t="s">
        <v>38</v>
      </c>
      <c r="H418" s="16" t="n">
        <v>20</v>
      </c>
      <c r="I418" s="19" t="n">
        <f aca="false">IFERROR(IF(D418="Sale",H418*VLOOKUP(G418,Product_Master!$A:$F,6,FALSE()),IF(D418="Purchase",H418*VLOOKUP(G418,Product_Master!$A:$F,5,FALSE()),0)),0)</f>
        <v>1860</v>
      </c>
    </row>
    <row r="419" customFormat="false" ht="14.25" hidden="false" customHeight="true" outlineLevel="0" collapsed="false">
      <c r="A419" s="15" t="n">
        <v>418</v>
      </c>
      <c r="B419" s="18" t="n">
        <v>46188</v>
      </c>
      <c r="C419" s="16" t="s">
        <v>101</v>
      </c>
      <c r="D419" s="16" t="s">
        <v>102</v>
      </c>
      <c r="E419" s="16" t="n">
        <v>122</v>
      </c>
      <c r="F419" s="16" t="s">
        <v>135</v>
      </c>
      <c r="G419" s="16" t="s">
        <v>41</v>
      </c>
      <c r="H419" s="16" t="n">
        <v>20</v>
      </c>
      <c r="I419" s="19" t="n">
        <f aca="false">IFERROR(IF(D419="Sale",H419*VLOOKUP(G419,Product_Master!$A:$F,6,FALSE()),IF(D419="Purchase",H419*VLOOKUP(G419,Product_Master!$A:$F,5,FALSE()),0)),0)</f>
        <v>2220</v>
      </c>
    </row>
    <row r="420" customFormat="false" ht="14.25" hidden="false" customHeight="true" outlineLevel="0" collapsed="false">
      <c r="A420" s="15" t="n">
        <v>419</v>
      </c>
      <c r="B420" s="18" t="n">
        <v>46188</v>
      </c>
      <c r="C420" s="16" t="s">
        <v>101</v>
      </c>
      <c r="D420" s="16" t="s">
        <v>102</v>
      </c>
      <c r="E420" s="16" t="n">
        <v>122</v>
      </c>
      <c r="F420" s="16" t="s">
        <v>135</v>
      </c>
      <c r="G420" s="16" t="s">
        <v>42</v>
      </c>
      <c r="H420" s="16" t="n">
        <v>10</v>
      </c>
      <c r="I420" s="19" t="n">
        <f aca="false">IFERROR(IF(D420="Sale",H420*VLOOKUP(G420,Product_Master!$A:$F,6,FALSE()),IF(D420="Purchase",H420*VLOOKUP(G420,Product_Master!$A:$F,5,FALSE()),0)),0)</f>
        <v>1120</v>
      </c>
    </row>
    <row r="421" customFormat="false" ht="14.25" hidden="false" customHeight="true" outlineLevel="0" collapsed="false">
      <c r="A421" s="15" t="n">
        <v>420</v>
      </c>
      <c r="B421" s="18" t="n">
        <v>46188</v>
      </c>
      <c r="C421" s="16" t="s">
        <v>101</v>
      </c>
      <c r="D421" s="16" t="s">
        <v>102</v>
      </c>
      <c r="E421" s="16" t="n">
        <v>122</v>
      </c>
      <c r="F421" s="16" t="s">
        <v>135</v>
      </c>
      <c r="G421" s="16" t="s">
        <v>43</v>
      </c>
      <c r="H421" s="16" t="n">
        <v>40</v>
      </c>
      <c r="I421" s="19" t="n">
        <f aca="false">IFERROR(IF(D421="Sale",H421*VLOOKUP(G421,Product_Master!$A:$F,6,FALSE()),IF(D421="Purchase",H421*VLOOKUP(G421,Product_Master!$A:$F,5,FALSE()),0)),0)</f>
        <v>6400</v>
      </c>
    </row>
    <row r="422" customFormat="false" ht="14.25" hidden="false" customHeight="true" outlineLevel="0" collapsed="false">
      <c r="A422" s="15" t="n">
        <v>421</v>
      </c>
      <c r="B422" s="18" t="n">
        <v>46188</v>
      </c>
      <c r="C422" s="16" t="s">
        <v>101</v>
      </c>
      <c r="D422" s="16" t="s">
        <v>102</v>
      </c>
      <c r="E422" s="16" t="n">
        <v>122</v>
      </c>
      <c r="F422" s="16" t="s">
        <v>135</v>
      </c>
      <c r="G422" s="16" t="s">
        <v>44</v>
      </c>
      <c r="H422" s="16" t="n">
        <v>20</v>
      </c>
      <c r="I422" s="19" t="n">
        <f aca="false">IFERROR(IF(D422="Sale",H422*VLOOKUP(G422,Product_Master!$A:$F,6,FALSE()),IF(D422="Purchase",H422*VLOOKUP(G422,Product_Master!$A:$F,5,FALSE()),0)),0)</f>
        <v>2700</v>
      </c>
    </row>
    <row r="423" customFormat="false" ht="14.25" hidden="false" customHeight="true" outlineLevel="0" collapsed="false">
      <c r="A423" s="15" t="n">
        <v>422</v>
      </c>
      <c r="B423" s="18" t="n">
        <v>46188</v>
      </c>
      <c r="C423" s="16" t="s">
        <v>101</v>
      </c>
      <c r="D423" s="16" t="s">
        <v>102</v>
      </c>
      <c r="E423" s="16" t="n">
        <v>122</v>
      </c>
      <c r="F423" s="16" t="s">
        <v>135</v>
      </c>
      <c r="G423" s="16" t="s">
        <v>45</v>
      </c>
      <c r="H423" s="16" t="n">
        <v>20</v>
      </c>
      <c r="I423" s="19" t="n">
        <f aca="false">IFERROR(IF(D423="Sale",H423*VLOOKUP(G423,Product_Master!$A:$F,6,FALSE()),IF(D423="Purchase",H423*VLOOKUP(G423,Product_Master!$A:$F,5,FALSE()),0)),0)</f>
        <v>3700</v>
      </c>
    </row>
    <row r="424" customFormat="false" ht="14.25" hidden="false" customHeight="true" outlineLevel="0" collapsed="false">
      <c r="A424" s="15" t="n">
        <v>423</v>
      </c>
      <c r="B424" s="18" t="n">
        <v>46188</v>
      </c>
      <c r="C424" s="16" t="s">
        <v>101</v>
      </c>
      <c r="D424" s="16" t="s">
        <v>102</v>
      </c>
      <c r="E424" s="16" t="n">
        <v>122</v>
      </c>
      <c r="F424" s="16" t="s">
        <v>135</v>
      </c>
      <c r="G424" s="16" t="s">
        <v>48</v>
      </c>
      <c r="H424" s="16" t="n">
        <v>20</v>
      </c>
      <c r="I424" s="19" t="n">
        <f aca="false">IFERROR(IF(D424="Sale",H424*VLOOKUP(G424,Product_Master!$A:$F,6,FALSE()),IF(D424="Purchase",H424*VLOOKUP(G424,Product_Master!$A:$F,5,FALSE()),0)),0)</f>
        <v>2600</v>
      </c>
    </row>
    <row r="425" customFormat="false" ht="14.25" hidden="false" customHeight="true" outlineLevel="0" collapsed="false">
      <c r="A425" s="15" t="n">
        <v>424</v>
      </c>
      <c r="B425" s="18" t="n">
        <v>46188</v>
      </c>
      <c r="C425" s="16" t="s">
        <v>101</v>
      </c>
      <c r="D425" s="16" t="s">
        <v>102</v>
      </c>
      <c r="E425" s="16" t="n">
        <v>122</v>
      </c>
      <c r="F425" s="16" t="s">
        <v>135</v>
      </c>
      <c r="G425" s="16" t="s">
        <v>49</v>
      </c>
      <c r="H425" s="16" t="n">
        <v>7</v>
      </c>
      <c r="I425" s="19" t="n">
        <f aca="false">IFERROR(IF(D425="Sale",H425*VLOOKUP(G425,Product_Master!$A:$F,6,FALSE()),IF(D425="Purchase",H425*VLOOKUP(G425,Product_Master!$A:$F,5,FALSE()),0)),0)</f>
        <v>854</v>
      </c>
    </row>
    <row r="426" customFormat="false" ht="14.25" hidden="false" customHeight="true" outlineLevel="0" collapsed="false">
      <c r="A426" s="15" t="n">
        <v>425</v>
      </c>
      <c r="B426" s="18" t="n">
        <v>46188</v>
      </c>
      <c r="C426" s="16" t="s">
        <v>101</v>
      </c>
      <c r="D426" s="16" t="s">
        <v>102</v>
      </c>
      <c r="E426" s="16" t="n">
        <v>122</v>
      </c>
      <c r="F426" s="16" t="s">
        <v>135</v>
      </c>
      <c r="G426" s="16" t="s">
        <v>91</v>
      </c>
      <c r="H426" s="16" t="n">
        <v>22</v>
      </c>
      <c r="I426" s="19" t="n">
        <f aca="false">IFERROR(IF(D426="Sale",H426*VLOOKUP(G426,Product_Master!$A:$F,6,FALSE()),IF(D426="Purchase",H426*VLOOKUP(G426,Product_Master!$A:$F,5,FALSE()),0)),0)</f>
        <v>5940</v>
      </c>
    </row>
    <row r="427" customFormat="false" ht="14.25" hidden="false" customHeight="true" outlineLevel="0" collapsed="false">
      <c r="A427" s="15" t="n">
        <v>426</v>
      </c>
      <c r="B427" s="18" t="n">
        <v>46188</v>
      </c>
      <c r="C427" s="16" t="s">
        <v>101</v>
      </c>
      <c r="D427" s="16" t="s">
        <v>102</v>
      </c>
      <c r="E427" s="16" t="n">
        <v>195</v>
      </c>
      <c r="F427" s="16" t="s">
        <v>113</v>
      </c>
      <c r="G427" s="16" t="s">
        <v>41</v>
      </c>
      <c r="H427" s="16" t="n">
        <v>120</v>
      </c>
      <c r="I427" s="19" t="n">
        <f aca="false">IFERROR(IF(D427="Sale",H427*VLOOKUP(G427,Product_Master!$A:$F,6,FALSE()),IF(D427="Purchase",H427*VLOOKUP(G427,Product_Master!$A:$F,5,FALSE()),0)),0)</f>
        <v>13320</v>
      </c>
    </row>
    <row r="428" customFormat="false" ht="14.25" hidden="false" customHeight="true" outlineLevel="0" collapsed="false">
      <c r="A428" s="15" t="n">
        <v>427</v>
      </c>
      <c r="B428" s="18" t="n">
        <v>46188</v>
      </c>
      <c r="C428" s="16" t="s">
        <v>101</v>
      </c>
      <c r="D428" s="16" t="s">
        <v>102</v>
      </c>
      <c r="E428" s="16" t="n">
        <v>195</v>
      </c>
      <c r="F428" s="16" t="s">
        <v>113</v>
      </c>
      <c r="G428" s="16" t="s">
        <v>42</v>
      </c>
      <c r="H428" s="16" t="n">
        <v>240</v>
      </c>
      <c r="I428" s="19" t="n">
        <f aca="false">IFERROR(IF(D428="Sale",H428*VLOOKUP(G428,Product_Master!$A:$F,6,FALSE()),IF(D428="Purchase",H428*VLOOKUP(G428,Product_Master!$A:$F,5,FALSE()),0)),0)</f>
        <v>26880</v>
      </c>
    </row>
    <row r="429" customFormat="false" ht="14.25" hidden="false" customHeight="true" outlineLevel="0" collapsed="false">
      <c r="A429" s="15" t="n">
        <v>428</v>
      </c>
      <c r="B429" s="18" t="n">
        <v>46188</v>
      </c>
      <c r="C429" s="16" t="s">
        <v>101</v>
      </c>
      <c r="D429" s="16" t="s">
        <v>102</v>
      </c>
      <c r="E429" s="16" t="n">
        <v>196</v>
      </c>
      <c r="F429" s="16" t="s">
        <v>184</v>
      </c>
      <c r="G429" s="16" t="s">
        <v>59</v>
      </c>
      <c r="H429" s="16" t="n">
        <v>500</v>
      </c>
      <c r="I429" s="19" t="n">
        <f aca="false">IFERROR(IF(D429="Sale",H429*VLOOKUP(G429,Product_Master!$A:$F,6,FALSE()),IF(D429="Purchase",H429*VLOOKUP(G429,Product_Master!$A:$F,5,FALSE()),0)),0)</f>
        <v>74000</v>
      </c>
    </row>
    <row r="430" customFormat="false" ht="14.25" hidden="false" customHeight="true" outlineLevel="0" collapsed="false">
      <c r="A430" s="15" t="n">
        <v>429</v>
      </c>
      <c r="B430" s="18" t="n">
        <v>46188</v>
      </c>
      <c r="C430" s="16" t="s">
        <v>101</v>
      </c>
      <c r="D430" s="16" t="s">
        <v>102</v>
      </c>
      <c r="E430" s="16" t="n">
        <v>197</v>
      </c>
      <c r="F430" s="16" t="s">
        <v>108</v>
      </c>
      <c r="G430" s="16" t="s">
        <v>41</v>
      </c>
      <c r="H430" s="16" t="n">
        <v>720</v>
      </c>
      <c r="I430" s="19" t="n">
        <f aca="false">IFERROR(IF(D430="Sale",H430*VLOOKUP(G430,Product_Master!$A:$F,6,FALSE()),IF(D430="Purchase",H430*VLOOKUP(G430,Product_Master!$A:$F,5,FALSE()),0)),0)</f>
        <v>79920</v>
      </c>
    </row>
    <row r="431" customFormat="false" ht="14.25" hidden="false" customHeight="true" outlineLevel="0" collapsed="false">
      <c r="A431" s="15" t="n">
        <v>430</v>
      </c>
      <c r="B431" s="18" t="n">
        <v>46188</v>
      </c>
      <c r="C431" s="16" t="s">
        <v>101</v>
      </c>
      <c r="D431" s="16" t="s">
        <v>102</v>
      </c>
      <c r="E431" s="16" t="n">
        <v>197</v>
      </c>
      <c r="F431" s="16" t="s">
        <v>108</v>
      </c>
      <c r="G431" s="16" t="s">
        <v>42</v>
      </c>
      <c r="H431" s="16" t="n">
        <v>360</v>
      </c>
      <c r="I431" s="19" t="n">
        <f aca="false">IFERROR(IF(D431="Sale",H431*VLOOKUP(G431,Product_Master!$A:$F,6,FALSE()),IF(D431="Purchase",H431*VLOOKUP(G431,Product_Master!$A:$F,5,FALSE()),0)),0)</f>
        <v>40320</v>
      </c>
    </row>
    <row r="432" customFormat="false" ht="14.25" hidden="false" customHeight="true" outlineLevel="0" collapsed="false">
      <c r="A432" s="15" t="n">
        <v>431</v>
      </c>
      <c r="B432" s="18" t="n">
        <v>46188</v>
      </c>
      <c r="C432" s="16" t="s">
        <v>101</v>
      </c>
      <c r="D432" s="16" t="s">
        <v>102</v>
      </c>
      <c r="E432" s="16" t="n">
        <v>198</v>
      </c>
      <c r="F432" s="16" t="s">
        <v>134</v>
      </c>
      <c r="G432" s="16" t="s">
        <v>40</v>
      </c>
      <c r="H432" s="16" t="n">
        <v>120</v>
      </c>
      <c r="I432" s="19" t="n">
        <f aca="false">IFERROR(IF(D432="Sale",H432*VLOOKUP(G432,Product_Master!$A:$F,6,FALSE()),IF(D432="Purchase",H432*VLOOKUP(G432,Product_Master!$A:$F,5,FALSE()),0)),0)</f>
        <v>12240</v>
      </c>
    </row>
    <row r="433" customFormat="false" ht="14.25" hidden="false" customHeight="true" outlineLevel="0" collapsed="false">
      <c r="A433" s="15" t="n">
        <v>432</v>
      </c>
      <c r="B433" s="18" t="n">
        <v>46188</v>
      </c>
      <c r="C433" s="16" t="s">
        <v>101</v>
      </c>
      <c r="D433" s="16" t="s">
        <v>102</v>
      </c>
      <c r="E433" s="16" t="n">
        <v>198</v>
      </c>
      <c r="F433" s="16" t="s">
        <v>134</v>
      </c>
      <c r="G433" s="16" t="s">
        <v>41</v>
      </c>
      <c r="H433" s="16" t="n">
        <v>120</v>
      </c>
      <c r="I433" s="19" t="n">
        <f aca="false">IFERROR(IF(D433="Sale",H433*VLOOKUP(G433,Product_Master!$A:$F,6,FALSE()),IF(D433="Purchase",H433*VLOOKUP(G433,Product_Master!$A:$F,5,FALSE()),0)),0)</f>
        <v>13320</v>
      </c>
    </row>
    <row r="434" customFormat="false" ht="14.25" hidden="false" customHeight="true" outlineLevel="0" collapsed="false">
      <c r="A434" s="15" t="n">
        <v>433</v>
      </c>
      <c r="B434" s="18" t="n">
        <v>46188</v>
      </c>
      <c r="C434" s="16" t="s">
        <v>101</v>
      </c>
      <c r="D434" s="16" t="s">
        <v>102</v>
      </c>
      <c r="E434" s="16" t="n">
        <v>199</v>
      </c>
      <c r="F434" s="16" t="s">
        <v>106</v>
      </c>
      <c r="G434" s="16" t="s">
        <v>56</v>
      </c>
      <c r="H434" s="16" t="n">
        <v>240</v>
      </c>
      <c r="I434" s="19" t="n">
        <f aca="false">IFERROR(IF(D434="Sale",H434*VLOOKUP(G434,Product_Master!$A:$F,6,FALSE()),IF(D434="Purchase",H434*VLOOKUP(G434,Product_Master!$A:$F,5,FALSE()),0)),0)</f>
        <v>24720</v>
      </c>
    </row>
    <row r="435" customFormat="false" ht="14.25" hidden="false" customHeight="true" outlineLevel="0" collapsed="false">
      <c r="A435" s="15" t="n">
        <v>434</v>
      </c>
      <c r="B435" s="18" t="n">
        <v>46188</v>
      </c>
      <c r="C435" s="16" t="s">
        <v>101</v>
      </c>
      <c r="D435" s="16" t="s">
        <v>102</v>
      </c>
      <c r="E435" s="16" t="n">
        <v>199</v>
      </c>
      <c r="F435" s="16" t="s">
        <v>106</v>
      </c>
      <c r="G435" s="16" t="s">
        <v>73</v>
      </c>
      <c r="H435" s="16" t="n">
        <v>100</v>
      </c>
      <c r="I435" s="19" t="n">
        <f aca="false">IFERROR(IF(D435="Sale",H435*VLOOKUP(G435,Product_Master!$A:$F,6,FALSE()),IF(D435="Purchase",H435*VLOOKUP(G435,Product_Master!$A:$F,5,FALSE()),0)),0)</f>
        <v>14000</v>
      </c>
    </row>
    <row r="436" customFormat="false" ht="14.25" hidden="false" customHeight="true" outlineLevel="0" collapsed="false">
      <c r="A436" s="15" t="n">
        <v>435</v>
      </c>
      <c r="B436" s="18" t="n">
        <v>46189</v>
      </c>
      <c r="C436" s="16" t="s">
        <v>101</v>
      </c>
      <c r="D436" s="16" t="s">
        <v>102</v>
      </c>
      <c r="E436" s="16" t="n">
        <v>200</v>
      </c>
      <c r="F436" s="16" t="s">
        <v>178</v>
      </c>
      <c r="G436" s="16" t="s">
        <v>42</v>
      </c>
      <c r="H436" s="16" t="n">
        <v>480</v>
      </c>
      <c r="I436" s="19" t="n">
        <f aca="false">IFERROR(IF(D436="Sale",H436*VLOOKUP(G436,Product_Master!$A:$F,6,FALSE()),IF(D436="Purchase",H436*VLOOKUP(G436,Product_Master!$A:$F,5,FALSE()),0)),0)</f>
        <v>53760</v>
      </c>
    </row>
    <row r="437" customFormat="false" ht="14.25" hidden="false" customHeight="true" outlineLevel="0" collapsed="false">
      <c r="A437" s="15" t="n">
        <v>436</v>
      </c>
      <c r="B437" s="18" t="n">
        <v>46189</v>
      </c>
      <c r="C437" s="16" t="s">
        <v>101</v>
      </c>
      <c r="D437" s="16" t="s">
        <v>102</v>
      </c>
      <c r="E437" s="16" t="n">
        <v>200</v>
      </c>
      <c r="F437" s="16" t="s">
        <v>178</v>
      </c>
      <c r="G437" s="16" t="s">
        <v>56</v>
      </c>
      <c r="H437" s="16" t="n">
        <v>240</v>
      </c>
      <c r="I437" s="19" t="n">
        <f aca="false">IFERROR(IF(D437="Sale",H437*VLOOKUP(G437,Product_Master!$A:$F,6,FALSE()),IF(D437="Purchase",H437*VLOOKUP(G437,Product_Master!$A:$F,5,FALSE()),0)),0)</f>
        <v>24720</v>
      </c>
    </row>
    <row r="438" customFormat="false" ht="14.25" hidden="false" customHeight="true" outlineLevel="0" collapsed="false">
      <c r="A438" s="15" t="n">
        <v>437</v>
      </c>
      <c r="B438" s="18" t="n">
        <v>46189</v>
      </c>
      <c r="C438" s="16" t="s">
        <v>101</v>
      </c>
      <c r="D438" s="16" t="s">
        <v>102</v>
      </c>
      <c r="E438" s="16" t="n">
        <v>201</v>
      </c>
      <c r="F438" s="16" t="s">
        <v>186</v>
      </c>
      <c r="G438" s="16" t="s">
        <v>55</v>
      </c>
      <c r="H438" s="16" t="n">
        <v>50</v>
      </c>
      <c r="I438" s="19" t="n">
        <f aca="false">IFERROR(IF(D438="Sale",H438*VLOOKUP(G438,Product_Master!$A:$F,6,FALSE()),IF(D438="Purchase",H438*VLOOKUP(G438,Product_Master!$A:$F,5,FALSE()),0)),0)</f>
        <v>9000</v>
      </c>
    </row>
    <row r="439" customFormat="false" ht="14.25" hidden="false" customHeight="true" outlineLevel="0" collapsed="false">
      <c r="A439" s="15" t="n">
        <v>438</v>
      </c>
      <c r="B439" s="18" t="n">
        <v>46189</v>
      </c>
      <c r="C439" s="16" t="s">
        <v>101</v>
      </c>
      <c r="D439" s="16" t="s">
        <v>102</v>
      </c>
      <c r="E439" s="16" t="n">
        <v>202</v>
      </c>
      <c r="F439" s="16" t="s">
        <v>106</v>
      </c>
      <c r="G439" s="16" t="s">
        <v>40</v>
      </c>
      <c r="H439" s="16" t="n">
        <v>240</v>
      </c>
      <c r="I439" s="19" t="n">
        <f aca="false">IFERROR(IF(D439="Sale",H439*VLOOKUP(G439,Product_Master!$A:$F,6,FALSE()),IF(D439="Purchase",H439*VLOOKUP(G439,Product_Master!$A:$F,5,FALSE()),0)),0)</f>
        <v>24480</v>
      </c>
    </row>
    <row r="440" customFormat="false" ht="14.25" hidden="false" customHeight="true" outlineLevel="0" collapsed="false">
      <c r="A440" s="15" t="n">
        <v>439</v>
      </c>
      <c r="B440" s="18" t="n">
        <v>46189</v>
      </c>
      <c r="C440" s="16" t="s">
        <v>101</v>
      </c>
      <c r="D440" s="16" t="s">
        <v>102</v>
      </c>
      <c r="E440" s="16" t="n">
        <v>202</v>
      </c>
      <c r="F440" s="16" t="s">
        <v>106</v>
      </c>
      <c r="G440" s="16" t="s">
        <v>41</v>
      </c>
      <c r="H440" s="16" t="n">
        <v>240</v>
      </c>
      <c r="I440" s="19" t="n">
        <f aca="false">IFERROR(IF(D440="Sale",H440*VLOOKUP(G440,Product_Master!$A:$F,6,FALSE()),IF(D440="Purchase",H440*VLOOKUP(G440,Product_Master!$A:$F,5,FALSE()),0)),0)</f>
        <v>26640</v>
      </c>
    </row>
    <row r="441" customFormat="false" ht="14.25" hidden="false" customHeight="true" outlineLevel="0" collapsed="false">
      <c r="A441" s="15" t="n">
        <v>440</v>
      </c>
      <c r="B441" s="18" t="n">
        <v>46189</v>
      </c>
      <c r="C441" s="16" t="s">
        <v>101</v>
      </c>
      <c r="D441" s="16" t="s">
        <v>102</v>
      </c>
      <c r="E441" s="16" t="n">
        <v>203</v>
      </c>
      <c r="F441" s="16" t="s">
        <v>148</v>
      </c>
      <c r="G441" s="16" t="s">
        <v>41</v>
      </c>
      <c r="H441" s="16" t="n">
        <v>240</v>
      </c>
      <c r="I441" s="19" t="n">
        <f aca="false">IFERROR(IF(D441="Sale",H441*VLOOKUP(G441,Product_Master!$A:$F,6,FALSE()),IF(D441="Purchase",H441*VLOOKUP(G441,Product_Master!$A:$F,5,FALSE()),0)),0)</f>
        <v>26640</v>
      </c>
    </row>
    <row r="442" customFormat="false" ht="14.25" hidden="false" customHeight="true" outlineLevel="0" collapsed="false">
      <c r="A442" s="15" t="n">
        <v>441</v>
      </c>
      <c r="B442" s="18" t="n">
        <v>46189</v>
      </c>
      <c r="C442" s="16" t="s">
        <v>101</v>
      </c>
      <c r="D442" s="16" t="s">
        <v>102</v>
      </c>
      <c r="E442" s="16" t="n">
        <v>203</v>
      </c>
      <c r="F442" s="16" t="s">
        <v>148</v>
      </c>
      <c r="G442" s="16" t="s">
        <v>42</v>
      </c>
      <c r="H442" s="16" t="n">
        <v>120</v>
      </c>
      <c r="I442" s="19" t="n">
        <f aca="false">IFERROR(IF(D442="Sale",H442*VLOOKUP(G442,Product_Master!$A:$F,6,FALSE()),IF(D442="Purchase",H442*VLOOKUP(G442,Product_Master!$A:$F,5,FALSE()),0)),0)</f>
        <v>13440</v>
      </c>
    </row>
    <row r="443" customFormat="false" ht="14.25" hidden="false" customHeight="true" outlineLevel="0" collapsed="false">
      <c r="A443" s="15" t="n">
        <v>442</v>
      </c>
      <c r="B443" s="18" t="n">
        <v>46189</v>
      </c>
      <c r="C443" s="16" t="s">
        <v>101</v>
      </c>
      <c r="D443" s="16" t="s">
        <v>102</v>
      </c>
      <c r="E443" s="16" t="n">
        <v>203</v>
      </c>
      <c r="F443" s="16" t="s">
        <v>148</v>
      </c>
      <c r="G443" s="16" t="s">
        <v>51</v>
      </c>
      <c r="H443" s="16" t="n">
        <v>8</v>
      </c>
      <c r="I443" s="19" t="n">
        <f aca="false">IFERROR(IF(D443="Sale",H443*VLOOKUP(G443,Product_Master!$A:$F,6,FALSE()),IF(D443="Purchase",H443*VLOOKUP(G443,Product_Master!$A:$F,5,FALSE()),0)),0)</f>
        <v>2256</v>
      </c>
    </row>
    <row r="444" customFormat="false" ht="14.25" hidden="false" customHeight="true" outlineLevel="0" collapsed="false">
      <c r="A444" s="15" t="n">
        <v>443</v>
      </c>
      <c r="B444" s="18" t="n">
        <v>46189</v>
      </c>
      <c r="C444" s="16" t="s">
        <v>101</v>
      </c>
      <c r="D444" s="16" t="s">
        <v>102</v>
      </c>
      <c r="E444" s="16" t="n">
        <v>204</v>
      </c>
      <c r="F444" s="16" t="s">
        <v>182</v>
      </c>
      <c r="G444" s="16" t="s">
        <v>41</v>
      </c>
      <c r="H444" s="16" t="n">
        <v>240</v>
      </c>
      <c r="I444" s="19" t="n">
        <f aca="false">IFERROR(IF(D444="Sale",H444*VLOOKUP(G444,Product_Master!$A:$F,6,FALSE()),IF(D444="Purchase",H444*VLOOKUP(G444,Product_Master!$A:$F,5,FALSE()),0)),0)</f>
        <v>26640</v>
      </c>
    </row>
    <row r="445" customFormat="false" ht="14.25" hidden="false" customHeight="true" outlineLevel="0" collapsed="false">
      <c r="A445" s="15" t="n">
        <v>444</v>
      </c>
      <c r="B445" s="18" t="n">
        <v>46190</v>
      </c>
      <c r="C445" s="16" t="s">
        <v>101</v>
      </c>
      <c r="D445" s="16" t="s">
        <v>102</v>
      </c>
      <c r="E445" s="16" t="n">
        <v>123</v>
      </c>
      <c r="F445" s="16" t="s">
        <v>135</v>
      </c>
      <c r="G445" s="16" t="s">
        <v>75</v>
      </c>
      <c r="H445" s="16" t="n">
        <v>1</v>
      </c>
      <c r="I445" s="19" t="n">
        <f aca="false">IFERROR(IF(D445="Sale",H445*VLOOKUP(G445,Product_Master!$A:$F,6,FALSE()),IF(D445="Purchase",H445*VLOOKUP(G445,Product_Master!$A:$F,5,FALSE()),0)),0)</f>
        <v>900</v>
      </c>
    </row>
    <row r="446" customFormat="false" ht="14.25" hidden="true" customHeight="true" outlineLevel="0" collapsed="false">
      <c r="A446" s="15" t="n">
        <v>445</v>
      </c>
      <c r="B446" s="18" t="n">
        <v>46191</v>
      </c>
      <c r="C446" s="16" t="s">
        <v>101</v>
      </c>
      <c r="D446" s="16" t="s">
        <v>111</v>
      </c>
      <c r="E446" s="16"/>
      <c r="F446" s="16" t="s">
        <v>187</v>
      </c>
      <c r="G446" s="16" t="s">
        <v>38</v>
      </c>
      <c r="H446" s="16" t="n">
        <v>2200</v>
      </c>
      <c r="I446" s="19" t="n">
        <f aca="false">IFERROR(IF(D446="Sale",H446*VLOOKUP(G446,Product_Master!$A:$F,6,FALSE()),IF(D446="Purchase",H446*VLOOKUP(G446,Product_Master!$A:$F,5,FALSE()),0)),0)</f>
        <v>204600</v>
      </c>
    </row>
    <row r="447" customFormat="false" ht="14.25" hidden="true" customHeight="true" outlineLevel="0" collapsed="false">
      <c r="A447" s="15" t="n">
        <v>446</v>
      </c>
      <c r="B447" s="18" t="n">
        <v>46191</v>
      </c>
      <c r="C447" s="16" t="s">
        <v>101</v>
      </c>
      <c r="D447" s="16" t="s">
        <v>111</v>
      </c>
      <c r="E447" s="16"/>
      <c r="F447" s="16" t="s">
        <v>187</v>
      </c>
      <c r="G447" s="16" t="s">
        <v>40</v>
      </c>
      <c r="H447" s="16" t="n">
        <v>1440</v>
      </c>
      <c r="I447" s="19" t="n">
        <f aca="false">IFERROR(IF(D447="Sale",H447*VLOOKUP(G447,Product_Master!$A:$F,6,FALSE()),IF(D447="Purchase",H447*VLOOKUP(G447,Product_Master!$A:$F,5,FALSE()),0)),0)</f>
        <v>135360</v>
      </c>
    </row>
    <row r="448" customFormat="false" ht="14.25" hidden="true" customHeight="true" outlineLevel="0" collapsed="false">
      <c r="A448" s="15" t="n">
        <v>447</v>
      </c>
      <c r="B448" s="18" t="n">
        <v>46191</v>
      </c>
      <c r="C448" s="16" t="s">
        <v>101</v>
      </c>
      <c r="D448" s="16" t="s">
        <v>111</v>
      </c>
      <c r="E448" s="16"/>
      <c r="F448" s="16" t="s">
        <v>187</v>
      </c>
      <c r="G448" s="16" t="s">
        <v>41</v>
      </c>
      <c r="H448" s="16" t="n">
        <v>6960</v>
      </c>
      <c r="I448" s="19" t="n">
        <f aca="false">IFERROR(IF(D448="Sale",H448*VLOOKUP(G448,Product_Master!$A:$F,6,FALSE()),IF(D448="Purchase",H448*VLOOKUP(G448,Product_Master!$A:$F,5,FALSE()),0)),0)</f>
        <v>675120</v>
      </c>
    </row>
    <row r="449" customFormat="false" ht="14.25" hidden="true" customHeight="true" outlineLevel="0" collapsed="false">
      <c r="A449" s="15" t="n">
        <v>448</v>
      </c>
      <c r="B449" s="18" t="n">
        <v>46191</v>
      </c>
      <c r="C449" s="16" t="s">
        <v>101</v>
      </c>
      <c r="D449" s="16" t="s">
        <v>111</v>
      </c>
      <c r="E449" s="16"/>
      <c r="F449" s="16" t="s">
        <v>187</v>
      </c>
      <c r="G449" s="16" t="s">
        <v>42</v>
      </c>
      <c r="H449" s="16" t="n">
        <v>6960</v>
      </c>
      <c r="I449" s="19" t="n">
        <f aca="false">IFERROR(IF(D449="Sale",H449*VLOOKUP(G449,Product_Master!$A:$F,6,FALSE()),IF(D449="Purchase",H449*VLOOKUP(G449,Product_Master!$A:$F,5,FALSE()),0)),0)</f>
        <v>689040</v>
      </c>
    </row>
    <row r="450" customFormat="false" ht="14.25" hidden="true" customHeight="true" outlineLevel="0" collapsed="false">
      <c r="A450" s="15" t="n">
        <v>449</v>
      </c>
      <c r="B450" s="18" t="n">
        <v>46191</v>
      </c>
      <c r="C450" s="16" t="s">
        <v>101</v>
      </c>
      <c r="D450" s="16" t="s">
        <v>111</v>
      </c>
      <c r="E450" s="16"/>
      <c r="F450" s="16" t="s">
        <v>187</v>
      </c>
      <c r="G450" s="16" t="s">
        <v>53</v>
      </c>
      <c r="H450" s="16" t="n">
        <v>1000</v>
      </c>
      <c r="I450" s="19" t="n">
        <f aca="false">IFERROR(IF(D450="Sale",H450*VLOOKUP(G450,Product_Master!$A:$F,6,FALSE()),IF(D450="Purchase",H450*VLOOKUP(G450,Product_Master!$A:$F,5,FALSE()),0)),0)</f>
        <v>62000</v>
      </c>
    </row>
    <row r="451" customFormat="false" ht="14.25" hidden="true" customHeight="true" outlineLevel="0" collapsed="false">
      <c r="A451" s="15" t="n">
        <v>450</v>
      </c>
      <c r="B451" s="18" t="n">
        <v>46191</v>
      </c>
      <c r="C451" s="16" t="s">
        <v>101</v>
      </c>
      <c r="D451" s="16" t="s">
        <v>111</v>
      </c>
      <c r="E451" s="16"/>
      <c r="F451" s="16" t="s">
        <v>187</v>
      </c>
      <c r="G451" s="16" t="s">
        <v>76</v>
      </c>
      <c r="H451" s="16" t="n">
        <v>250</v>
      </c>
      <c r="I451" s="19" t="n">
        <f aca="false">IFERROR(IF(D451="Sale",H451*VLOOKUP(G451,Product_Master!$A:$F,6,FALSE()),IF(D451="Purchase",H451*VLOOKUP(G451,Product_Master!$A:$F,5,FALSE()),0)),0)</f>
        <v>32500</v>
      </c>
    </row>
    <row r="452" customFormat="false" ht="14.25" hidden="true" customHeight="true" outlineLevel="0" collapsed="false">
      <c r="A452" s="15" t="n">
        <v>451</v>
      </c>
      <c r="B452" s="18" t="n">
        <v>46191</v>
      </c>
      <c r="C452" s="16" t="s">
        <v>101</v>
      </c>
      <c r="D452" s="16" t="s">
        <v>111</v>
      </c>
      <c r="E452" s="16"/>
      <c r="F452" s="16" t="s">
        <v>154</v>
      </c>
      <c r="G452" s="16" t="s">
        <v>50</v>
      </c>
      <c r="H452" s="16" t="n">
        <v>2000</v>
      </c>
      <c r="I452" s="19" t="n">
        <f aca="false">IFERROR(IF(D452="Sale",H452*VLOOKUP(G452,Product_Master!$A:$F,6,FALSE()),IF(D452="Purchase",H452*VLOOKUP(G452,Product_Master!$A:$F,5,FALSE()),0)),0)</f>
        <v>350000</v>
      </c>
    </row>
    <row r="453" customFormat="false" ht="14.25" hidden="true" customHeight="true" outlineLevel="0" collapsed="false">
      <c r="A453" s="15" t="n">
        <v>452</v>
      </c>
      <c r="B453" s="18" t="n">
        <v>46191</v>
      </c>
      <c r="C453" s="16" t="s">
        <v>101</v>
      </c>
      <c r="D453" s="16" t="s">
        <v>111</v>
      </c>
      <c r="E453" s="16"/>
      <c r="F453" s="16" t="s">
        <v>154</v>
      </c>
      <c r="G453" s="16" t="s">
        <v>51</v>
      </c>
      <c r="H453" s="16" t="n">
        <v>500</v>
      </c>
      <c r="I453" s="19" t="n">
        <f aca="false">IFERROR(IF(D453="Sale",H453*VLOOKUP(G453,Product_Master!$A:$F,6,FALSE()),IF(D453="Purchase",H453*VLOOKUP(G453,Product_Master!$A:$F,5,FALSE()),0)),0)</f>
        <v>115000</v>
      </c>
    </row>
    <row r="454" customFormat="false" ht="14.25" hidden="true" customHeight="true" outlineLevel="0" collapsed="false">
      <c r="A454" s="15" t="n">
        <v>453</v>
      </c>
      <c r="B454" s="18" t="n">
        <v>46191</v>
      </c>
      <c r="C454" s="16" t="s">
        <v>101</v>
      </c>
      <c r="D454" s="16" t="s">
        <v>111</v>
      </c>
      <c r="E454" s="16"/>
      <c r="F454" s="16" t="s">
        <v>154</v>
      </c>
      <c r="G454" s="16" t="s">
        <v>52</v>
      </c>
      <c r="H454" s="16" t="n">
        <v>100</v>
      </c>
      <c r="I454" s="19" t="n">
        <f aca="false">IFERROR(IF(D454="Sale",H454*VLOOKUP(G454,Product_Master!$A:$F,6,FALSE()),IF(D454="Purchase",H454*VLOOKUP(G454,Product_Master!$A:$F,5,FALSE()),0)),0)</f>
        <v>26000</v>
      </c>
    </row>
    <row r="455" customFormat="false" ht="14.25" hidden="false" customHeight="true" outlineLevel="0" collapsed="false">
      <c r="A455" s="15" t="n">
        <v>454</v>
      </c>
      <c r="B455" s="18" t="n">
        <v>46191</v>
      </c>
      <c r="C455" s="16" t="s">
        <v>101</v>
      </c>
      <c r="D455" s="16" t="s">
        <v>102</v>
      </c>
      <c r="E455" s="16" t="n">
        <v>205</v>
      </c>
      <c r="F455" s="16" t="s">
        <v>145</v>
      </c>
      <c r="G455" s="16" t="s">
        <v>73</v>
      </c>
      <c r="H455" s="16" t="n">
        <v>250</v>
      </c>
      <c r="I455" s="19" t="n">
        <f aca="false">IFERROR(IF(D455="Sale",H455*VLOOKUP(G455,Product_Master!$A:$F,6,FALSE()),IF(D455="Purchase",H455*VLOOKUP(G455,Product_Master!$A:$F,5,FALSE()),0)),0)</f>
        <v>35000</v>
      </c>
    </row>
    <row r="456" customFormat="false" ht="14.25" hidden="false" customHeight="true" outlineLevel="0" collapsed="false">
      <c r="A456" s="15" t="n">
        <v>455</v>
      </c>
      <c r="B456" s="18" t="n">
        <v>46191</v>
      </c>
      <c r="C456" s="16" t="s">
        <v>101</v>
      </c>
      <c r="D456" s="16" t="s">
        <v>102</v>
      </c>
      <c r="E456" s="16" t="n">
        <v>206</v>
      </c>
      <c r="F456" s="16" t="s">
        <v>126</v>
      </c>
      <c r="G456" s="16" t="s">
        <v>61</v>
      </c>
      <c r="H456" s="16" t="n">
        <v>60</v>
      </c>
      <c r="I456" s="19" t="n">
        <f aca="false">IFERROR(IF(D456="Sale",H456*VLOOKUP(G456,Product_Master!$A:$F,6,FALSE()),IF(D456="Purchase",H456*VLOOKUP(G456,Product_Master!$A:$F,5,FALSE()),0)),0)</f>
        <v>13740</v>
      </c>
    </row>
    <row r="457" customFormat="false" ht="14.25" hidden="false" customHeight="true" outlineLevel="0" collapsed="false">
      <c r="A457" s="15" t="n">
        <v>456</v>
      </c>
      <c r="B457" s="18" t="n">
        <v>46192</v>
      </c>
      <c r="C457" s="16" t="s">
        <v>101</v>
      </c>
      <c r="D457" s="16" t="s">
        <v>102</v>
      </c>
      <c r="E457" s="16" t="n">
        <v>207</v>
      </c>
      <c r="F457" s="16" t="s">
        <v>145</v>
      </c>
      <c r="G457" s="16" t="s">
        <v>45</v>
      </c>
      <c r="H457" s="16" t="n">
        <v>150</v>
      </c>
      <c r="I457" s="19" t="n">
        <f aca="false">IFERROR(IF(D457="Sale",H457*VLOOKUP(G457,Product_Master!$A:$F,6,FALSE()),IF(D457="Purchase",H457*VLOOKUP(G457,Product_Master!$A:$F,5,FALSE()),0)),0)</f>
        <v>27750</v>
      </c>
    </row>
    <row r="458" customFormat="false" ht="14.25" hidden="false" customHeight="true" outlineLevel="0" collapsed="false">
      <c r="A458" s="15" t="n">
        <v>457</v>
      </c>
      <c r="B458" s="18" t="n">
        <v>46192</v>
      </c>
      <c r="C458" s="16" t="s">
        <v>101</v>
      </c>
      <c r="D458" s="16" t="s">
        <v>102</v>
      </c>
      <c r="E458" s="16" t="n">
        <v>208</v>
      </c>
      <c r="F458" s="16" t="s">
        <v>147</v>
      </c>
      <c r="G458" s="16" t="s">
        <v>43</v>
      </c>
      <c r="H458" s="16" t="n">
        <v>240</v>
      </c>
      <c r="I458" s="19" t="n">
        <f aca="false">IFERROR(IF(D458="Sale",H458*VLOOKUP(G458,Product_Master!$A:$F,6,FALSE()),IF(D458="Purchase",H458*VLOOKUP(G458,Product_Master!$A:$F,5,FALSE()),0)),0)</f>
        <v>38400</v>
      </c>
    </row>
    <row r="459" customFormat="false" ht="14.25" hidden="false" customHeight="true" outlineLevel="0" collapsed="false">
      <c r="A459" s="15" t="n">
        <v>458</v>
      </c>
      <c r="B459" s="18" t="n">
        <v>46192</v>
      </c>
      <c r="C459" s="16" t="s">
        <v>101</v>
      </c>
      <c r="D459" s="16" t="s">
        <v>102</v>
      </c>
      <c r="E459" s="16" t="n">
        <v>208</v>
      </c>
      <c r="F459" s="16" t="s">
        <v>147</v>
      </c>
      <c r="G459" s="16" t="s">
        <v>50</v>
      </c>
      <c r="H459" s="16" t="n">
        <v>200</v>
      </c>
      <c r="I459" s="19" t="n">
        <f aca="false">IFERROR(IF(D459="Sale",H459*VLOOKUP(G459,Product_Master!$A:$F,6,FALSE()),IF(D459="Purchase",H459*VLOOKUP(G459,Product_Master!$A:$F,5,FALSE()),0)),0)</f>
        <v>45000</v>
      </c>
    </row>
    <row r="460" customFormat="false" ht="14.25" hidden="false" customHeight="true" outlineLevel="0" collapsed="false">
      <c r="A460" s="15" t="n">
        <v>459</v>
      </c>
      <c r="B460" s="18" t="n">
        <v>46192</v>
      </c>
      <c r="C460" s="16" t="s">
        <v>101</v>
      </c>
      <c r="D460" s="16" t="s">
        <v>102</v>
      </c>
      <c r="E460" s="16" t="n">
        <v>208</v>
      </c>
      <c r="F460" s="16" t="s">
        <v>147</v>
      </c>
      <c r="G460" s="16" t="s">
        <v>55</v>
      </c>
      <c r="H460" s="16" t="n">
        <v>200</v>
      </c>
      <c r="I460" s="19" t="n">
        <f aca="false">IFERROR(IF(D460="Sale",H460*VLOOKUP(G460,Product_Master!$A:$F,6,FALSE()),IF(D460="Purchase",H460*VLOOKUP(G460,Product_Master!$A:$F,5,FALSE()),0)),0)</f>
        <v>36000</v>
      </c>
    </row>
    <row r="461" customFormat="false" ht="14.25" hidden="false" customHeight="true" outlineLevel="0" collapsed="false">
      <c r="A461" s="15" t="n">
        <v>460</v>
      </c>
      <c r="B461" s="18" t="n">
        <v>46192</v>
      </c>
      <c r="C461" s="16" t="s">
        <v>101</v>
      </c>
      <c r="D461" s="16" t="s">
        <v>102</v>
      </c>
      <c r="E461" s="16" t="n">
        <v>209</v>
      </c>
      <c r="F461" s="16" t="s">
        <v>188</v>
      </c>
      <c r="G461" s="16" t="s">
        <v>57</v>
      </c>
      <c r="H461" s="16" t="n">
        <v>150</v>
      </c>
      <c r="I461" s="19" t="n">
        <f aca="false">IFERROR(IF(D461="Sale",H461*VLOOKUP(G461,Product_Master!$A:$F,6,FALSE()),IF(D461="Purchase",H461*VLOOKUP(G461,Product_Master!$A:$F,5,FALSE()),0)),0)</f>
        <v>18900</v>
      </c>
    </row>
    <row r="462" customFormat="false" ht="14.25" hidden="false" customHeight="true" outlineLevel="0" collapsed="false">
      <c r="A462" s="15" t="n">
        <v>461</v>
      </c>
      <c r="B462" s="18" t="n">
        <v>46192</v>
      </c>
      <c r="C462" s="16" t="s">
        <v>101</v>
      </c>
      <c r="D462" s="16" t="s">
        <v>102</v>
      </c>
      <c r="E462" s="16" t="n">
        <v>210</v>
      </c>
      <c r="F462" s="16" t="s">
        <v>122</v>
      </c>
      <c r="G462" s="16" t="s">
        <v>60</v>
      </c>
      <c r="H462" s="16" t="n">
        <v>120</v>
      </c>
      <c r="I462" s="19" t="n">
        <f aca="false">IFERROR(IF(D462="Sale",H462*VLOOKUP(G462,Product_Master!$A:$F,6,FALSE()),IF(D462="Purchase",H462*VLOOKUP(G462,Product_Master!$A:$F,5,FALSE()),0)),0)</f>
        <v>23760</v>
      </c>
    </row>
    <row r="463" customFormat="false" ht="14.25" hidden="false" customHeight="true" outlineLevel="0" collapsed="false">
      <c r="A463" s="15" t="n">
        <v>462</v>
      </c>
      <c r="B463" s="18" t="n">
        <v>46192</v>
      </c>
      <c r="C463" s="16" t="s">
        <v>101</v>
      </c>
      <c r="D463" s="16" t="s">
        <v>102</v>
      </c>
      <c r="E463" s="16" t="n">
        <v>211</v>
      </c>
      <c r="F463" s="16" t="s">
        <v>175</v>
      </c>
      <c r="G463" s="16" t="s">
        <v>42</v>
      </c>
      <c r="H463" s="16" t="n">
        <v>41</v>
      </c>
      <c r="I463" s="19" t="n">
        <f aca="false">IFERROR(IF(D463="Sale",H463*VLOOKUP(G463,Product_Master!$A:$F,6,FALSE()),IF(D463="Purchase",H463*VLOOKUP(G463,Product_Master!$A:$F,5,FALSE()),0)),0)</f>
        <v>4592</v>
      </c>
    </row>
    <row r="464" customFormat="false" ht="14.25" hidden="false" customHeight="true" outlineLevel="0" collapsed="false">
      <c r="A464" s="15" t="n">
        <v>463</v>
      </c>
      <c r="B464" s="18" t="n">
        <v>46195</v>
      </c>
      <c r="C464" s="16" t="s">
        <v>101</v>
      </c>
      <c r="D464" s="16" t="s">
        <v>102</v>
      </c>
      <c r="E464" s="16" t="n">
        <v>124</v>
      </c>
      <c r="F464" s="16" t="s">
        <v>110</v>
      </c>
      <c r="G464" s="16" t="s">
        <v>42</v>
      </c>
      <c r="H464" s="16" t="n">
        <v>120</v>
      </c>
      <c r="I464" s="19" t="n">
        <f aca="false">IFERROR(IF(D464="Sale",H464*VLOOKUP(G464,Product_Master!$A:$F,6,FALSE()),IF(D464="Purchase",H464*VLOOKUP(G464,Product_Master!$A:$F,5,FALSE()),0)),0)</f>
        <v>13440</v>
      </c>
    </row>
    <row r="465" customFormat="false" ht="14.25" hidden="false" customHeight="true" outlineLevel="0" collapsed="false">
      <c r="A465" s="15" t="n">
        <v>464</v>
      </c>
      <c r="B465" s="18" t="n">
        <v>46195</v>
      </c>
      <c r="C465" s="16" t="s">
        <v>101</v>
      </c>
      <c r="D465" s="16" t="s">
        <v>102</v>
      </c>
      <c r="E465" s="16" t="n">
        <v>125</v>
      </c>
      <c r="F465" s="16" t="s">
        <v>189</v>
      </c>
      <c r="G465" s="16" t="s">
        <v>58</v>
      </c>
      <c r="H465" s="16" t="n">
        <v>25</v>
      </c>
      <c r="I465" s="19" t="n">
        <f aca="false">IFERROR(IF(D465="Sale",H465*VLOOKUP(G465,Product_Master!$A:$F,6,FALSE()),IF(D465="Purchase",H465*VLOOKUP(G465,Product_Master!$A:$F,5,FALSE()),0)),0)</f>
        <v>5075</v>
      </c>
    </row>
    <row r="466" customFormat="false" ht="14.25" hidden="false" customHeight="true" outlineLevel="0" collapsed="false">
      <c r="A466" s="15" t="n">
        <v>465</v>
      </c>
      <c r="B466" s="18" t="n">
        <v>46195</v>
      </c>
      <c r="C466" s="16" t="s">
        <v>101</v>
      </c>
      <c r="D466" s="16" t="s">
        <v>102</v>
      </c>
      <c r="E466" s="16" t="n">
        <v>212</v>
      </c>
      <c r="F466" s="16" t="s">
        <v>115</v>
      </c>
      <c r="G466" s="16" t="s">
        <v>53</v>
      </c>
      <c r="H466" s="16" t="n">
        <v>150</v>
      </c>
      <c r="I466" s="19" t="n">
        <f aca="false">IFERROR(IF(D466="Sale",H466*VLOOKUP(G466,Product_Master!$A:$F,6,FALSE()),IF(D466="Purchase",H466*VLOOKUP(G466,Product_Master!$A:$F,5,FALSE()),0)),0)</f>
        <v>12750</v>
      </c>
    </row>
    <row r="467" customFormat="false" ht="14.25" hidden="false" customHeight="true" outlineLevel="0" collapsed="false">
      <c r="A467" s="15" t="n">
        <v>466</v>
      </c>
      <c r="B467" s="18" t="n">
        <v>46195</v>
      </c>
      <c r="C467" s="16" t="s">
        <v>101</v>
      </c>
      <c r="D467" s="16" t="s">
        <v>102</v>
      </c>
      <c r="E467" s="16" t="n">
        <v>213</v>
      </c>
      <c r="F467" s="16" t="s">
        <v>152</v>
      </c>
      <c r="G467" s="16" t="s">
        <v>38</v>
      </c>
      <c r="H467" s="16" t="n">
        <v>220</v>
      </c>
      <c r="I467" s="19" t="n">
        <f aca="false">IFERROR(IF(D467="Sale",H467*VLOOKUP(G467,Product_Master!$A:$F,6,FALSE()),IF(D467="Purchase",H467*VLOOKUP(G467,Product_Master!$A:$F,5,FALSE()),0)),0)</f>
        <v>20460</v>
      </c>
    </row>
    <row r="468" customFormat="false" ht="14.25" hidden="false" customHeight="true" outlineLevel="0" collapsed="false">
      <c r="A468" s="15" t="n">
        <v>467</v>
      </c>
      <c r="B468" s="18" t="n">
        <v>46195</v>
      </c>
      <c r="C468" s="16" t="s">
        <v>101</v>
      </c>
      <c r="D468" s="16" t="s">
        <v>102</v>
      </c>
      <c r="E468" s="16" t="n">
        <v>214</v>
      </c>
      <c r="F468" s="16" t="s">
        <v>109</v>
      </c>
      <c r="G468" s="16" t="s">
        <v>45</v>
      </c>
      <c r="H468" s="16" t="n">
        <v>300</v>
      </c>
      <c r="I468" s="19" t="n">
        <f aca="false">IFERROR(IF(D468="Sale",H468*VLOOKUP(G468,Product_Master!$A:$F,6,FALSE()),IF(D468="Purchase",H468*VLOOKUP(G468,Product_Master!$A:$F,5,FALSE()),0)),0)</f>
        <v>55500</v>
      </c>
    </row>
    <row r="469" customFormat="false" ht="14.25" hidden="false" customHeight="true" outlineLevel="0" collapsed="false">
      <c r="A469" s="15" t="n">
        <v>468</v>
      </c>
      <c r="B469" s="18" t="n">
        <v>46195</v>
      </c>
      <c r="C469" s="16" t="s">
        <v>101</v>
      </c>
      <c r="D469" s="16" t="s">
        <v>102</v>
      </c>
      <c r="E469" s="16" t="n">
        <v>215</v>
      </c>
      <c r="F469" s="16" t="s">
        <v>126</v>
      </c>
      <c r="G469" s="16" t="s">
        <v>41</v>
      </c>
      <c r="H469" s="16" t="n">
        <v>120</v>
      </c>
      <c r="I469" s="19" t="n">
        <f aca="false">IFERROR(IF(D469="Sale",H469*VLOOKUP(G469,Product_Master!$A:$F,6,FALSE()),IF(D469="Purchase",H469*VLOOKUP(G469,Product_Master!$A:$F,5,FALSE()),0)),0)</f>
        <v>13320</v>
      </c>
    </row>
    <row r="470" customFormat="false" ht="14.25" hidden="false" customHeight="true" outlineLevel="0" collapsed="false">
      <c r="A470" s="15" t="n">
        <v>469</v>
      </c>
      <c r="B470" s="18" t="n">
        <v>46195</v>
      </c>
      <c r="C470" s="16" t="s">
        <v>101</v>
      </c>
      <c r="D470" s="16" t="s">
        <v>102</v>
      </c>
      <c r="E470" s="16" t="n">
        <v>215</v>
      </c>
      <c r="F470" s="16" t="s">
        <v>126</v>
      </c>
      <c r="G470" s="16" t="s">
        <v>42</v>
      </c>
      <c r="H470" s="16" t="n">
        <v>120</v>
      </c>
      <c r="I470" s="19" t="n">
        <f aca="false">IFERROR(IF(D470="Sale",H470*VLOOKUP(G470,Product_Master!$A:$F,6,FALSE()),IF(D470="Purchase",H470*VLOOKUP(G470,Product_Master!$A:$F,5,FALSE()),0)),0)</f>
        <v>13440</v>
      </c>
    </row>
    <row r="471" customFormat="false" ht="14.25" hidden="false" customHeight="true" outlineLevel="0" collapsed="false">
      <c r="A471" s="15" t="n">
        <v>470</v>
      </c>
      <c r="B471" s="18" t="n">
        <v>46195</v>
      </c>
      <c r="C471" s="16" t="s">
        <v>101</v>
      </c>
      <c r="D471" s="16" t="s">
        <v>102</v>
      </c>
      <c r="E471" s="16" t="n">
        <v>216</v>
      </c>
      <c r="F471" s="16" t="s">
        <v>148</v>
      </c>
      <c r="G471" s="16" t="s">
        <v>42</v>
      </c>
      <c r="H471" s="16" t="n">
        <v>120</v>
      </c>
      <c r="I471" s="19" t="n">
        <f aca="false">IFERROR(IF(D471="Sale",H471*VLOOKUP(G471,Product_Master!$A:$F,6,FALSE()),IF(D471="Purchase",H471*VLOOKUP(G471,Product_Master!$A:$F,5,FALSE()),0)),0)</f>
        <v>13440</v>
      </c>
    </row>
    <row r="472" customFormat="false" ht="14.25" hidden="false" customHeight="true" outlineLevel="0" collapsed="false">
      <c r="A472" s="15" t="n">
        <v>471</v>
      </c>
      <c r="B472" s="18" t="n">
        <v>46195</v>
      </c>
      <c r="C472" s="16" t="s">
        <v>101</v>
      </c>
      <c r="D472" s="16" t="s">
        <v>102</v>
      </c>
      <c r="E472" s="16" t="n">
        <v>217</v>
      </c>
      <c r="F472" s="16" t="s">
        <v>145</v>
      </c>
      <c r="G472" s="16" t="s">
        <v>42</v>
      </c>
      <c r="H472" s="16" t="n">
        <v>120</v>
      </c>
      <c r="I472" s="19" t="n">
        <f aca="false">IFERROR(IF(D472="Sale",H472*VLOOKUP(G472,Product_Master!$A:$F,6,FALSE()),IF(D472="Purchase",H472*VLOOKUP(G472,Product_Master!$A:$F,5,FALSE()),0)),0)</f>
        <v>13440</v>
      </c>
    </row>
    <row r="473" customFormat="false" ht="14.25" hidden="false" customHeight="true" outlineLevel="0" collapsed="false">
      <c r="A473" s="15" t="n">
        <v>472</v>
      </c>
      <c r="B473" s="18" t="n">
        <v>46196</v>
      </c>
      <c r="C473" s="16" t="s">
        <v>101</v>
      </c>
      <c r="D473" s="16" t="s">
        <v>102</v>
      </c>
      <c r="E473" s="16" t="n">
        <v>218</v>
      </c>
      <c r="F473" s="16" t="s">
        <v>174</v>
      </c>
      <c r="G473" s="16" t="s">
        <v>59</v>
      </c>
      <c r="H473" s="16" t="n">
        <v>25</v>
      </c>
      <c r="I473" s="19" t="n">
        <f aca="false">IFERROR(IF(D473="Sale",H473*VLOOKUP(G473,Product_Master!$A:$F,6,FALSE()),IF(D473="Purchase",H473*VLOOKUP(G473,Product_Master!$A:$F,5,FALSE()),0)),0)</f>
        <v>3700</v>
      </c>
    </row>
    <row r="474" customFormat="false" ht="14.25" hidden="false" customHeight="true" outlineLevel="0" collapsed="false">
      <c r="A474" s="15" t="n">
        <v>473</v>
      </c>
      <c r="B474" s="18" t="n">
        <v>46196</v>
      </c>
      <c r="C474" s="16" t="s">
        <v>101</v>
      </c>
      <c r="D474" s="16" t="s">
        <v>102</v>
      </c>
      <c r="E474" s="16" t="n">
        <v>219</v>
      </c>
      <c r="F474" s="16" t="s">
        <v>190</v>
      </c>
      <c r="G474" s="16" t="s">
        <v>43</v>
      </c>
      <c r="H474" s="16" t="n">
        <v>120</v>
      </c>
      <c r="I474" s="19" t="n">
        <f aca="false">IFERROR(IF(D474="Sale",H474*VLOOKUP(G474,Product_Master!$A:$F,6,FALSE()),IF(D474="Purchase",H474*VLOOKUP(G474,Product_Master!$A:$F,5,FALSE()),0)),0)</f>
        <v>19200</v>
      </c>
    </row>
    <row r="475" customFormat="false" ht="14.25" hidden="false" customHeight="true" outlineLevel="0" collapsed="false">
      <c r="A475" s="15" t="n">
        <v>474</v>
      </c>
      <c r="B475" s="18" t="n">
        <v>46196</v>
      </c>
      <c r="C475" s="16" t="s">
        <v>101</v>
      </c>
      <c r="D475" s="16" t="s">
        <v>102</v>
      </c>
      <c r="E475" s="16" t="n">
        <v>220</v>
      </c>
      <c r="F475" s="16" t="s">
        <v>191</v>
      </c>
      <c r="G475" s="16" t="s">
        <v>49</v>
      </c>
      <c r="H475" s="16" t="n">
        <v>60</v>
      </c>
      <c r="I475" s="19" t="n">
        <f aca="false">IFERROR(IF(D475="Sale",H475*VLOOKUP(G475,Product_Master!$A:$F,6,FALSE()),IF(D475="Purchase",H475*VLOOKUP(G475,Product_Master!$A:$F,5,FALSE()),0)),0)</f>
        <v>7320</v>
      </c>
    </row>
    <row r="476" customFormat="false" ht="14.25" hidden="false" customHeight="true" outlineLevel="0" collapsed="false">
      <c r="A476" s="15" t="n">
        <v>475</v>
      </c>
      <c r="B476" s="18" t="n">
        <v>46197</v>
      </c>
      <c r="C476" s="16" t="s">
        <v>101</v>
      </c>
      <c r="D476" s="16" t="s">
        <v>102</v>
      </c>
      <c r="E476" s="16" t="n">
        <v>126</v>
      </c>
      <c r="F476" s="16" t="s">
        <v>192</v>
      </c>
      <c r="G476" s="16" t="s">
        <v>40</v>
      </c>
      <c r="H476" s="16" t="n">
        <v>24</v>
      </c>
      <c r="I476" s="19" t="n">
        <f aca="false">IFERROR(IF(D476="Sale",H476*VLOOKUP(G476,Product_Master!$A:$F,6,FALSE()),IF(D476="Purchase",H476*VLOOKUP(G476,Product_Master!$A:$F,5,FALSE()),0)),0)</f>
        <v>2448</v>
      </c>
    </row>
    <row r="477" customFormat="false" ht="14.25" hidden="false" customHeight="true" outlineLevel="0" collapsed="false">
      <c r="A477" s="15" t="n">
        <v>476</v>
      </c>
      <c r="B477" s="18" t="n">
        <v>46197</v>
      </c>
      <c r="C477" s="16" t="s">
        <v>101</v>
      </c>
      <c r="D477" s="16" t="s">
        <v>102</v>
      </c>
      <c r="E477" s="16" t="n">
        <v>127</v>
      </c>
      <c r="F477" s="16" t="s">
        <v>171</v>
      </c>
      <c r="G477" s="16" t="s">
        <v>39</v>
      </c>
      <c r="H477" s="16" t="n">
        <v>20</v>
      </c>
      <c r="I477" s="19" t="n">
        <f aca="false">IFERROR(IF(D477="Sale",H477*VLOOKUP(G477,Product_Master!$A:$F,6,FALSE()),IF(D477="Purchase",H477*VLOOKUP(G477,Product_Master!$A:$F,5,FALSE()),0)),0)</f>
        <v>2120</v>
      </c>
    </row>
    <row r="478" customFormat="false" ht="14.25" hidden="false" customHeight="true" outlineLevel="0" collapsed="false">
      <c r="A478" s="15" t="n">
        <v>477</v>
      </c>
      <c r="B478" s="18" t="n">
        <v>46197</v>
      </c>
      <c r="C478" s="16" t="s">
        <v>101</v>
      </c>
      <c r="D478" s="16" t="s">
        <v>102</v>
      </c>
      <c r="E478" s="16" t="n">
        <v>127</v>
      </c>
      <c r="F478" s="16" t="s">
        <v>171</v>
      </c>
      <c r="G478" s="16" t="s">
        <v>40</v>
      </c>
      <c r="H478" s="16" t="n">
        <v>20</v>
      </c>
      <c r="I478" s="19" t="n">
        <f aca="false">IFERROR(IF(D478="Sale",H478*VLOOKUP(G478,Product_Master!$A:$F,6,FALSE()),IF(D478="Purchase",H478*VLOOKUP(G478,Product_Master!$A:$F,5,FALSE()),0)),0)</f>
        <v>2040</v>
      </c>
    </row>
    <row r="479" customFormat="false" ht="14.25" hidden="false" customHeight="true" outlineLevel="0" collapsed="false">
      <c r="A479" s="15" t="n">
        <v>478</v>
      </c>
      <c r="B479" s="18" t="n">
        <v>46197</v>
      </c>
      <c r="C479" s="16" t="s">
        <v>101</v>
      </c>
      <c r="D479" s="16" t="s">
        <v>102</v>
      </c>
      <c r="E479" s="16" t="n">
        <v>127</v>
      </c>
      <c r="F479" s="16" t="s">
        <v>171</v>
      </c>
      <c r="G479" s="16" t="s">
        <v>41</v>
      </c>
      <c r="H479" s="16" t="n">
        <v>20</v>
      </c>
      <c r="I479" s="19" t="n">
        <f aca="false">IFERROR(IF(D479="Sale",H479*VLOOKUP(G479,Product_Master!$A:$F,6,FALSE()),IF(D479="Purchase",H479*VLOOKUP(G479,Product_Master!$A:$F,5,FALSE()),0)),0)</f>
        <v>2220</v>
      </c>
    </row>
    <row r="480" customFormat="false" ht="14.25" hidden="false" customHeight="true" outlineLevel="0" collapsed="false">
      <c r="A480" s="15" t="n">
        <v>479</v>
      </c>
      <c r="B480" s="18" t="n">
        <v>46197</v>
      </c>
      <c r="C480" s="16" t="s">
        <v>101</v>
      </c>
      <c r="D480" s="16" t="s">
        <v>102</v>
      </c>
      <c r="E480" s="16" t="n">
        <v>127</v>
      </c>
      <c r="F480" s="16" t="s">
        <v>171</v>
      </c>
      <c r="G480" s="16" t="s">
        <v>43</v>
      </c>
      <c r="H480" s="16" t="n">
        <v>20</v>
      </c>
      <c r="I480" s="19" t="n">
        <f aca="false">IFERROR(IF(D480="Sale",H480*VLOOKUP(G480,Product_Master!$A:$F,6,FALSE()),IF(D480="Purchase",H480*VLOOKUP(G480,Product_Master!$A:$F,5,FALSE()),0)),0)</f>
        <v>3200</v>
      </c>
    </row>
    <row r="481" customFormat="false" ht="14.25" hidden="false" customHeight="true" outlineLevel="0" collapsed="false">
      <c r="A481" s="15" t="n">
        <v>480</v>
      </c>
      <c r="B481" s="18" t="n">
        <v>46197</v>
      </c>
      <c r="C481" s="16" t="s">
        <v>101</v>
      </c>
      <c r="D481" s="16" t="s">
        <v>102</v>
      </c>
      <c r="E481" s="16" t="n">
        <v>221</v>
      </c>
      <c r="F481" s="16" t="s">
        <v>178</v>
      </c>
      <c r="G481" s="16" t="s">
        <v>56</v>
      </c>
      <c r="H481" s="16" t="n">
        <v>120</v>
      </c>
      <c r="I481" s="19" t="n">
        <f aca="false">IFERROR(IF(D481="Sale",H481*VLOOKUP(G481,Product_Master!$A:$F,6,FALSE()),IF(D481="Purchase",H481*VLOOKUP(G481,Product_Master!$A:$F,5,FALSE()),0)),0)</f>
        <v>12360</v>
      </c>
    </row>
    <row r="482" customFormat="false" ht="14.25" hidden="false" customHeight="true" outlineLevel="0" collapsed="false">
      <c r="A482" s="15" t="n">
        <v>481</v>
      </c>
      <c r="B482" s="18" t="n">
        <v>46197</v>
      </c>
      <c r="C482" s="16" t="s">
        <v>101</v>
      </c>
      <c r="D482" s="16" t="s">
        <v>102</v>
      </c>
      <c r="E482" s="16" t="n">
        <v>221</v>
      </c>
      <c r="F482" s="16" t="s">
        <v>178</v>
      </c>
      <c r="G482" s="16" t="s">
        <v>61</v>
      </c>
      <c r="H482" s="16" t="n">
        <v>60</v>
      </c>
      <c r="I482" s="19" t="n">
        <f aca="false">IFERROR(IF(D482="Sale",H482*VLOOKUP(G482,Product_Master!$A:$F,6,FALSE()),IF(D482="Purchase",H482*VLOOKUP(G482,Product_Master!$A:$F,5,FALSE()),0)),0)</f>
        <v>13740</v>
      </c>
    </row>
    <row r="483" customFormat="false" ht="14.25" hidden="false" customHeight="true" outlineLevel="0" collapsed="false">
      <c r="A483" s="15" t="n">
        <v>482</v>
      </c>
      <c r="B483" s="18" t="n">
        <v>46197</v>
      </c>
      <c r="C483" s="16" t="s">
        <v>101</v>
      </c>
      <c r="D483" s="16" t="s">
        <v>102</v>
      </c>
      <c r="E483" s="16" t="n">
        <v>222</v>
      </c>
      <c r="F483" s="16" t="s">
        <v>193</v>
      </c>
      <c r="G483" s="16" t="s">
        <v>42</v>
      </c>
      <c r="H483" s="16" t="n">
        <v>120</v>
      </c>
      <c r="I483" s="19" t="n">
        <f aca="false">IFERROR(IF(D483="Sale",H483*VLOOKUP(G483,Product_Master!$A:$F,6,FALSE()),IF(D483="Purchase",H483*VLOOKUP(G483,Product_Master!$A:$F,5,FALSE()),0)),0)</f>
        <v>13440</v>
      </c>
    </row>
    <row r="484" customFormat="false" ht="14.25" hidden="false" customHeight="true" outlineLevel="0" collapsed="false">
      <c r="A484" s="15" t="n">
        <v>483</v>
      </c>
      <c r="B484" s="18" t="n">
        <v>46197</v>
      </c>
      <c r="C484" s="16" t="s">
        <v>101</v>
      </c>
      <c r="D484" s="16" t="s">
        <v>102</v>
      </c>
      <c r="E484" s="16" t="n">
        <v>222</v>
      </c>
      <c r="F484" s="16" t="s">
        <v>193</v>
      </c>
      <c r="G484" s="16" t="s">
        <v>50</v>
      </c>
      <c r="H484" s="16" t="n">
        <v>25</v>
      </c>
      <c r="I484" s="19" t="n">
        <f aca="false">IFERROR(IF(D484="Sale",H484*VLOOKUP(G484,Product_Master!$A:$F,6,FALSE()),IF(D484="Purchase",H484*VLOOKUP(G484,Product_Master!$A:$F,5,FALSE()),0)),0)</f>
        <v>5625</v>
      </c>
    </row>
    <row r="485" customFormat="false" ht="14.25" hidden="false" customHeight="true" outlineLevel="0" collapsed="false">
      <c r="A485" s="15" t="n">
        <v>484</v>
      </c>
      <c r="B485" s="18" t="n">
        <v>46197</v>
      </c>
      <c r="C485" s="16" t="s">
        <v>101</v>
      </c>
      <c r="D485" s="16" t="s">
        <v>102</v>
      </c>
      <c r="E485" s="16" t="n">
        <v>222</v>
      </c>
      <c r="F485" s="16" t="s">
        <v>193</v>
      </c>
      <c r="G485" s="16" t="s">
        <v>51</v>
      </c>
      <c r="H485" s="16" t="n">
        <v>10</v>
      </c>
      <c r="I485" s="19" t="n">
        <f aca="false">IFERROR(IF(D485="Sale",H485*VLOOKUP(G485,Product_Master!$A:$F,6,FALSE()),IF(D485="Purchase",H485*VLOOKUP(G485,Product_Master!$A:$F,5,FALSE()),0)),0)</f>
        <v>2820</v>
      </c>
    </row>
    <row r="486" customFormat="false" ht="14.25" hidden="false" customHeight="true" outlineLevel="0" collapsed="false">
      <c r="A486" s="15" t="n">
        <v>485</v>
      </c>
      <c r="B486" s="18" t="n">
        <v>46197</v>
      </c>
      <c r="C486" s="16" t="s">
        <v>101</v>
      </c>
      <c r="D486" s="16" t="s">
        <v>102</v>
      </c>
      <c r="E486" s="16" t="n">
        <v>222</v>
      </c>
      <c r="F486" s="16" t="s">
        <v>193</v>
      </c>
      <c r="G486" s="16" t="s">
        <v>72</v>
      </c>
      <c r="H486" s="16" t="n">
        <v>25</v>
      </c>
      <c r="I486" s="19" t="n">
        <f aca="false">IFERROR(IF(D486="Sale",H486*VLOOKUP(G486,Product_Master!$A:$F,6,FALSE()),IF(D486="Purchase",H486*VLOOKUP(G486,Product_Master!$A:$F,5,FALSE()),0)),0)</f>
        <v>2550</v>
      </c>
    </row>
    <row r="487" customFormat="false" ht="14.25" hidden="false" customHeight="true" outlineLevel="0" collapsed="false">
      <c r="A487" s="15" t="n">
        <v>486</v>
      </c>
      <c r="B487" s="18" t="n">
        <v>46197</v>
      </c>
      <c r="C487" s="16" t="s">
        <v>101</v>
      </c>
      <c r="D487" s="16" t="s">
        <v>102</v>
      </c>
      <c r="E487" s="16" t="n">
        <v>222</v>
      </c>
      <c r="F487" s="16" t="s">
        <v>193</v>
      </c>
      <c r="G487" s="16" t="s">
        <v>92</v>
      </c>
      <c r="H487" s="16" t="n">
        <v>50</v>
      </c>
      <c r="I487" s="19" t="n">
        <f aca="false">IFERROR(IF(D487="Sale",H487*VLOOKUP(G487,Product_Master!$A:$F,6,FALSE()),IF(D487="Purchase",H487*VLOOKUP(G487,Product_Master!$A:$F,5,FALSE()),0)),0)</f>
        <v>12250</v>
      </c>
    </row>
    <row r="488" customFormat="false" ht="14.25" hidden="false" customHeight="true" outlineLevel="0" collapsed="false">
      <c r="A488" s="15" t="n">
        <v>487</v>
      </c>
      <c r="B488" s="18" t="n">
        <v>46198</v>
      </c>
      <c r="C488" s="16" t="s">
        <v>101</v>
      </c>
      <c r="D488" s="16" t="s">
        <v>102</v>
      </c>
      <c r="E488" s="16" t="n">
        <v>128</v>
      </c>
      <c r="F488" s="16" t="s">
        <v>159</v>
      </c>
      <c r="G488" s="16" t="s">
        <v>42</v>
      </c>
      <c r="H488" s="16" t="n">
        <v>600</v>
      </c>
      <c r="I488" s="19" t="n">
        <f aca="false">IFERROR(IF(D488="Sale",H488*VLOOKUP(G488,Product_Master!$A:$F,6,FALSE()),IF(D488="Purchase",H488*VLOOKUP(G488,Product_Master!$A:$F,5,FALSE()),0)),0)</f>
        <v>67200</v>
      </c>
    </row>
    <row r="489" customFormat="false" ht="14.25" hidden="false" customHeight="true" outlineLevel="0" collapsed="false">
      <c r="A489" s="15" t="n">
        <v>488</v>
      </c>
      <c r="B489" s="18" t="n">
        <v>46198</v>
      </c>
      <c r="C489" s="16" t="s">
        <v>101</v>
      </c>
      <c r="D489" s="16" t="s">
        <v>102</v>
      </c>
      <c r="E489" s="16" t="n">
        <v>223</v>
      </c>
      <c r="F489" s="16" t="s">
        <v>108</v>
      </c>
      <c r="G489" s="16" t="s">
        <v>42</v>
      </c>
      <c r="H489" s="16" t="n">
        <v>720</v>
      </c>
      <c r="I489" s="19" t="n">
        <f aca="false">IFERROR(IF(D489="Sale",H489*VLOOKUP(G489,Product_Master!$A:$F,6,FALSE()),IF(D489="Purchase",H489*VLOOKUP(G489,Product_Master!$A:$F,5,FALSE()),0)),0)</f>
        <v>80640</v>
      </c>
    </row>
    <row r="490" customFormat="false" ht="14.25" hidden="false" customHeight="true" outlineLevel="0" collapsed="false">
      <c r="A490" s="15" t="n">
        <v>489</v>
      </c>
      <c r="B490" s="18" t="n">
        <v>46198</v>
      </c>
      <c r="C490" s="16" t="s">
        <v>101</v>
      </c>
      <c r="D490" s="16" t="s">
        <v>102</v>
      </c>
      <c r="E490" s="16" t="n">
        <v>224</v>
      </c>
      <c r="F490" s="16" t="s">
        <v>194</v>
      </c>
      <c r="G490" s="16" t="s">
        <v>42</v>
      </c>
      <c r="H490" s="16" t="n">
        <v>240</v>
      </c>
      <c r="I490" s="19" t="n">
        <f aca="false">IFERROR(IF(D490="Sale",H490*VLOOKUP(G490,Product_Master!$A:$F,6,FALSE()),IF(D490="Purchase",H490*VLOOKUP(G490,Product_Master!$A:$F,5,FALSE()),0)),0)</f>
        <v>26880</v>
      </c>
    </row>
    <row r="491" customFormat="false" ht="14.25" hidden="false" customHeight="true" outlineLevel="0" collapsed="false">
      <c r="A491" s="15" t="n">
        <v>490</v>
      </c>
      <c r="B491" s="18" t="n">
        <v>46198</v>
      </c>
      <c r="C491" s="16" t="s">
        <v>101</v>
      </c>
      <c r="D491" s="16" t="s">
        <v>102</v>
      </c>
      <c r="E491" s="16" t="n">
        <v>225</v>
      </c>
      <c r="F491" s="16" t="s">
        <v>178</v>
      </c>
      <c r="G491" s="16" t="s">
        <v>42</v>
      </c>
      <c r="H491" s="16" t="n">
        <v>3000</v>
      </c>
      <c r="I491" s="19" t="n">
        <f aca="false">IFERROR(IF(D491="Sale",H491*VLOOKUP(G491,Product_Master!$A:$F,6,FALSE()),IF(D491="Purchase",H491*VLOOKUP(G491,Product_Master!$A:$F,5,FALSE()),0)),0)</f>
        <v>336000</v>
      </c>
    </row>
    <row r="492" customFormat="false" ht="14.25" hidden="false" customHeight="true" outlineLevel="0" collapsed="false">
      <c r="A492" s="15" t="n">
        <v>491</v>
      </c>
      <c r="B492" s="18" t="n">
        <v>46199</v>
      </c>
      <c r="C492" s="16" t="s">
        <v>101</v>
      </c>
      <c r="D492" s="16" t="s">
        <v>102</v>
      </c>
      <c r="E492" s="16" t="n">
        <v>132</v>
      </c>
      <c r="F492" s="16" t="s">
        <v>110</v>
      </c>
      <c r="G492" s="16" t="s">
        <v>42</v>
      </c>
      <c r="H492" s="16" t="n">
        <v>240</v>
      </c>
      <c r="I492" s="19" t="n">
        <f aca="false">IFERROR(IF(D492="Sale",H492*VLOOKUP(G492,Product_Master!$A:$F,6,FALSE()),IF(D492="Purchase",H492*VLOOKUP(G492,Product_Master!$A:$F,5,FALSE()),0)),0)</f>
        <v>26880</v>
      </c>
    </row>
    <row r="493" customFormat="false" ht="14.25" hidden="false" customHeight="true" outlineLevel="0" collapsed="false">
      <c r="A493" s="15" t="n">
        <v>492</v>
      </c>
      <c r="B493" s="18" t="n">
        <v>46199</v>
      </c>
      <c r="C493" s="16" t="s">
        <v>101</v>
      </c>
      <c r="D493" s="16" t="s">
        <v>102</v>
      </c>
      <c r="E493" s="16" t="n">
        <v>227</v>
      </c>
      <c r="F493" s="16" t="s">
        <v>121</v>
      </c>
      <c r="G493" s="16" t="s">
        <v>41</v>
      </c>
      <c r="H493" s="16" t="n">
        <v>120</v>
      </c>
      <c r="I493" s="19" t="n">
        <f aca="false">IFERROR(IF(D493="Sale",H493*VLOOKUP(G493,Product_Master!$A:$F,6,FALSE()),IF(D493="Purchase",H493*VLOOKUP(G493,Product_Master!$A:$F,5,FALSE()),0)),0)</f>
        <v>13320</v>
      </c>
    </row>
    <row r="494" customFormat="false" ht="14.25" hidden="false" customHeight="true" outlineLevel="0" collapsed="false">
      <c r="A494" s="15" t="n">
        <v>493</v>
      </c>
      <c r="B494" s="18" t="n">
        <v>46199</v>
      </c>
      <c r="C494" s="16" t="s">
        <v>101</v>
      </c>
      <c r="D494" s="16" t="s">
        <v>102</v>
      </c>
      <c r="E494" s="16" t="n">
        <v>228</v>
      </c>
      <c r="F494" s="16" t="s">
        <v>178</v>
      </c>
      <c r="G494" s="16" t="s">
        <v>56</v>
      </c>
      <c r="H494" s="16" t="n">
        <v>360</v>
      </c>
      <c r="I494" s="19" t="n">
        <f aca="false">IFERROR(IF(D494="Sale",H494*VLOOKUP(G494,Product_Master!$A:$F,6,FALSE()),IF(D494="Purchase",H494*VLOOKUP(G494,Product_Master!$A:$F,5,FALSE()),0)),0)</f>
        <v>37080</v>
      </c>
    </row>
    <row r="495" customFormat="false" ht="14.25" hidden="false" customHeight="true" outlineLevel="0" collapsed="false">
      <c r="A495" s="15" t="n">
        <v>494</v>
      </c>
      <c r="B495" s="18" t="n">
        <v>46199</v>
      </c>
      <c r="C495" s="16" t="s">
        <v>101</v>
      </c>
      <c r="D495" s="16" t="s">
        <v>102</v>
      </c>
      <c r="E495" s="16" t="n">
        <v>229</v>
      </c>
      <c r="F495" s="16" t="s">
        <v>184</v>
      </c>
      <c r="G495" s="16" t="s">
        <v>49</v>
      </c>
      <c r="H495" s="16" t="n">
        <v>540</v>
      </c>
      <c r="I495" s="19" t="n">
        <f aca="false">IFERROR(IF(D495="Sale",H495*VLOOKUP(G495,Product_Master!$A:$F,6,FALSE()),IF(D495="Purchase",H495*VLOOKUP(G495,Product_Master!$A:$F,5,FALSE()),0)),0)</f>
        <v>65880</v>
      </c>
    </row>
    <row r="496" customFormat="false" ht="14.25" hidden="false" customHeight="true" outlineLevel="0" collapsed="false">
      <c r="A496" s="15" t="n">
        <v>495</v>
      </c>
      <c r="B496" s="18" t="n">
        <v>46199</v>
      </c>
      <c r="C496" s="16" t="s">
        <v>101</v>
      </c>
      <c r="D496" s="16" t="s">
        <v>102</v>
      </c>
      <c r="E496" s="16" t="n">
        <v>229</v>
      </c>
      <c r="F496" s="16" t="s">
        <v>184</v>
      </c>
      <c r="G496" s="16" t="s">
        <v>59</v>
      </c>
      <c r="H496" s="16" t="n">
        <v>500</v>
      </c>
      <c r="I496" s="19" t="n">
        <f aca="false">IFERROR(IF(D496="Sale",H496*VLOOKUP(G496,Product_Master!$A:$F,6,FALSE()),IF(D496="Purchase",H496*VLOOKUP(G496,Product_Master!$A:$F,5,FALSE()),0)),0)</f>
        <v>74000</v>
      </c>
    </row>
    <row r="497" customFormat="false" ht="14.25" hidden="false" customHeight="true" outlineLevel="0" collapsed="false">
      <c r="A497" s="15" t="n">
        <v>496</v>
      </c>
      <c r="B497" s="18" t="n">
        <v>46200</v>
      </c>
      <c r="C497" s="16" t="s">
        <v>101</v>
      </c>
      <c r="D497" s="16" t="s">
        <v>102</v>
      </c>
      <c r="E497" s="16" t="n">
        <v>130</v>
      </c>
      <c r="F497" s="16" t="s">
        <v>135</v>
      </c>
      <c r="G497" s="16" t="s">
        <v>75</v>
      </c>
      <c r="H497" s="16" t="n">
        <v>1</v>
      </c>
      <c r="I497" s="19" t="n">
        <f aca="false">IFERROR(IF(D497="Sale",H497*VLOOKUP(G497,Product_Master!$A:$F,6,FALSE()),IF(D497="Purchase",H497*VLOOKUP(G497,Product_Master!$A:$F,5,FALSE()),0)),0)</f>
        <v>900</v>
      </c>
    </row>
    <row r="498" customFormat="false" ht="14.25" hidden="false" customHeight="true" outlineLevel="0" collapsed="false">
      <c r="A498" s="15" t="n">
        <v>497</v>
      </c>
      <c r="B498" s="18" t="n">
        <v>46200</v>
      </c>
      <c r="C498" s="16" t="s">
        <v>101</v>
      </c>
      <c r="D498" s="16" t="s">
        <v>102</v>
      </c>
      <c r="E498" s="16" t="n">
        <v>230</v>
      </c>
      <c r="F498" s="16" t="s">
        <v>125</v>
      </c>
      <c r="G498" s="16" t="s">
        <v>75</v>
      </c>
      <c r="H498" s="16" t="n">
        <v>5</v>
      </c>
      <c r="I498" s="19" t="n">
        <f aca="false">IFERROR(IF(D498="Sale",H498*VLOOKUP(G498,Product_Master!$A:$F,6,FALSE()),IF(D498="Purchase",H498*VLOOKUP(G498,Product_Master!$A:$F,5,FALSE()),0)),0)</f>
        <v>4500</v>
      </c>
    </row>
    <row r="499" customFormat="false" ht="14.25" hidden="false" customHeight="true" outlineLevel="0" collapsed="false">
      <c r="A499" s="15" t="n">
        <v>498</v>
      </c>
      <c r="B499" s="18" t="n">
        <v>46200</v>
      </c>
      <c r="C499" s="16" t="s">
        <v>101</v>
      </c>
      <c r="D499" s="16" t="s">
        <v>102</v>
      </c>
      <c r="E499" s="16" t="n">
        <v>231</v>
      </c>
      <c r="F499" s="16" t="s">
        <v>134</v>
      </c>
      <c r="G499" s="16" t="s">
        <v>40</v>
      </c>
      <c r="H499" s="16" t="n">
        <v>120</v>
      </c>
      <c r="I499" s="19" t="n">
        <f aca="false">IFERROR(IF(D499="Sale",H499*VLOOKUP(G499,Product_Master!$A:$F,6,FALSE()),IF(D499="Purchase",H499*VLOOKUP(G499,Product_Master!$A:$F,5,FALSE()),0)),0)</f>
        <v>12240</v>
      </c>
    </row>
    <row r="500" customFormat="false" ht="14.25" hidden="false" customHeight="true" outlineLevel="0" collapsed="false">
      <c r="A500" s="15" t="n">
        <v>499</v>
      </c>
      <c r="B500" s="18" t="n">
        <v>46200</v>
      </c>
      <c r="C500" s="16" t="s">
        <v>101</v>
      </c>
      <c r="D500" s="16" t="s">
        <v>102</v>
      </c>
      <c r="E500" s="16" t="n">
        <v>231</v>
      </c>
      <c r="F500" s="16" t="s">
        <v>134</v>
      </c>
      <c r="G500" s="16" t="s">
        <v>41</v>
      </c>
      <c r="H500" s="16" t="n">
        <v>120</v>
      </c>
      <c r="I500" s="19" t="n">
        <f aca="false">IFERROR(IF(D500="Sale",H500*VLOOKUP(G500,Product_Master!$A:$F,6,FALSE()),IF(D500="Purchase",H500*VLOOKUP(G500,Product_Master!$A:$F,5,FALSE()),0)),0)</f>
        <v>13320</v>
      </c>
    </row>
    <row r="501" customFormat="false" ht="14.25" hidden="false" customHeight="true" outlineLevel="0" collapsed="false">
      <c r="A501" s="15" t="n">
        <v>500</v>
      </c>
      <c r="B501" s="18" t="n">
        <v>46202</v>
      </c>
      <c r="C501" s="16" t="s">
        <v>101</v>
      </c>
      <c r="D501" s="16" t="s">
        <v>102</v>
      </c>
      <c r="E501" s="16" t="n">
        <v>131</v>
      </c>
      <c r="F501" s="16" t="s">
        <v>110</v>
      </c>
      <c r="G501" s="16" t="s">
        <v>42</v>
      </c>
      <c r="H501" s="16" t="n">
        <v>240</v>
      </c>
      <c r="I501" s="19" t="n">
        <f aca="false">IFERROR(IF(D501="Sale",H501*VLOOKUP(G501,Product_Master!$A:$F,6,FALSE()),IF(D501="Purchase",H501*VLOOKUP(G501,Product_Master!$A:$F,5,FALSE()),0)),0)</f>
        <v>26880</v>
      </c>
    </row>
    <row r="502" customFormat="false" ht="14.25" hidden="false" customHeight="true" outlineLevel="0" collapsed="false">
      <c r="A502" s="15" t="n">
        <v>501</v>
      </c>
      <c r="B502" s="18" t="n">
        <v>46202</v>
      </c>
      <c r="C502" s="16" t="s">
        <v>101</v>
      </c>
      <c r="D502" s="16" t="s">
        <v>102</v>
      </c>
      <c r="E502" s="16" t="n">
        <v>233</v>
      </c>
      <c r="F502" s="16" t="s">
        <v>195</v>
      </c>
      <c r="G502" s="16" t="s">
        <v>41</v>
      </c>
      <c r="H502" s="16" t="n">
        <v>120</v>
      </c>
      <c r="I502" s="19" t="n">
        <f aca="false">IFERROR(IF(D502="Sale",H502*VLOOKUP(G502,Product_Master!$A:$F,6,FALSE()),IF(D502="Purchase",H502*VLOOKUP(G502,Product_Master!$A:$F,5,FALSE()),0)),0)</f>
        <v>13320</v>
      </c>
    </row>
    <row r="503" customFormat="false" ht="14.25" hidden="false" customHeight="true" outlineLevel="0" collapsed="false">
      <c r="A503" s="15" t="n">
        <v>502</v>
      </c>
      <c r="B503" s="18" t="n">
        <v>46202</v>
      </c>
      <c r="C503" s="16" t="s">
        <v>101</v>
      </c>
      <c r="D503" s="16" t="s">
        <v>102</v>
      </c>
      <c r="E503" s="16" t="n">
        <v>233</v>
      </c>
      <c r="F503" s="16" t="s">
        <v>195</v>
      </c>
      <c r="G503" s="16" t="s">
        <v>42</v>
      </c>
      <c r="H503" s="16" t="n">
        <v>120</v>
      </c>
      <c r="I503" s="19" t="n">
        <f aca="false">IFERROR(IF(D503="Sale",H503*VLOOKUP(G503,Product_Master!$A:$F,6,FALSE()),IF(D503="Purchase",H503*VLOOKUP(G503,Product_Master!$A:$F,5,FALSE()),0)),0)</f>
        <v>13440</v>
      </c>
    </row>
    <row r="504" customFormat="false" ht="14.25" hidden="false" customHeight="true" outlineLevel="0" collapsed="false">
      <c r="A504" s="15" t="n">
        <v>503</v>
      </c>
      <c r="B504" s="18" t="n">
        <v>46202</v>
      </c>
      <c r="C504" s="16" t="s">
        <v>101</v>
      </c>
      <c r="D504" s="16" t="s">
        <v>102</v>
      </c>
      <c r="E504" s="16" t="n">
        <v>234</v>
      </c>
      <c r="F504" s="16" t="s">
        <v>152</v>
      </c>
      <c r="G504" s="16" t="s">
        <v>38</v>
      </c>
      <c r="H504" s="16" t="n">
        <v>110</v>
      </c>
      <c r="I504" s="19" t="n">
        <f aca="false">IFERROR(IF(D504="Sale",H504*VLOOKUP(G504,Product_Master!$A:$F,6,FALSE()),IF(D504="Purchase",H504*VLOOKUP(G504,Product_Master!$A:$F,5,FALSE()),0)),0)</f>
        <v>10230</v>
      </c>
    </row>
    <row r="505" customFormat="false" ht="14.25" hidden="false" customHeight="true" outlineLevel="0" collapsed="false">
      <c r="A505" s="15" t="n">
        <v>504</v>
      </c>
      <c r="B505" s="18" t="n">
        <v>46202</v>
      </c>
      <c r="C505" s="16" t="s">
        <v>101</v>
      </c>
      <c r="D505" s="16" t="s">
        <v>102</v>
      </c>
      <c r="E505" s="16" t="n">
        <v>235</v>
      </c>
      <c r="F505" s="16" t="s">
        <v>178</v>
      </c>
      <c r="G505" s="16" t="s">
        <v>61</v>
      </c>
      <c r="H505" s="16" t="n">
        <v>30</v>
      </c>
      <c r="I505" s="19" t="n">
        <f aca="false">IFERROR(IF(D505="Sale",H505*VLOOKUP(G505,Product_Master!$A:$F,6,FALSE()),IF(D505="Purchase",H505*VLOOKUP(G505,Product_Master!$A:$F,5,FALSE()),0)),0)</f>
        <v>6870</v>
      </c>
    </row>
    <row r="506" customFormat="false" ht="14.25" hidden="false" customHeight="true" outlineLevel="0" collapsed="false">
      <c r="A506" s="15" t="n">
        <v>505</v>
      </c>
      <c r="B506" s="18" t="n">
        <v>46202</v>
      </c>
      <c r="C506" s="16" t="s">
        <v>101</v>
      </c>
      <c r="D506" s="16" t="s">
        <v>102</v>
      </c>
      <c r="E506" s="16" t="n">
        <v>236</v>
      </c>
      <c r="F506" s="16" t="s">
        <v>152</v>
      </c>
      <c r="G506" s="16" t="s">
        <v>53</v>
      </c>
      <c r="H506" s="16" t="n">
        <v>100</v>
      </c>
      <c r="I506" s="19" t="n">
        <f aca="false">IFERROR(IF(D506="Sale",H506*VLOOKUP(G506,Product_Master!$A:$F,6,FALSE()),IF(D506="Purchase",H506*VLOOKUP(G506,Product_Master!$A:$F,5,FALSE()),0)),0)</f>
        <v>8500</v>
      </c>
    </row>
    <row r="507" customFormat="false" ht="14.25" hidden="false" customHeight="true" outlineLevel="0" collapsed="false">
      <c r="A507" s="15" t="n">
        <v>506</v>
      </c>
      <c r="B507" s="18" t="n">
        <v>46203</v>
      </c>
      <c r="C507" s="16" t="s">
        <v>101</v>
      </c>
      <c r="D507" s="16" t="s">
        <v>102</v>
      </c>
      <c r="E507" s="16" t="n">
        <v>237</v>
      </c>
      <c r="F507" s="16" t="s">
        <v>147</v>
      </c>
      <c r="G507" s="16" t="s">
        <v>38</v>
      </c>
      <c r="H507" s="16" t="n">
        <v>110</v>
      </c>
      <c r="I507" s="19" t="n">
        <f aca="false">IFERROR(IF(D507="Sale",H507*VLOOKUP(G507,Product_Master!$A:$F,6,FALSE()),IF(D507="Purchase",H507*VLOOKUP(G507,Product_Master!$A:$F,5,FALSE()),0)),0)</f>
        <v>10230</v>
      </c>
    </row>
    <row r="508" customFormat="false" ht="14.25" hidden="false" customHeight="true" outlineLevel="0" collapsed="false">
      <c r="A508" s="15" t="n">
        <v>507</v>
      </c>
      <c r="B508" s="18" t="n">
        <v>46203</v>
      </c>
      <c r="C508" s="16" t="s">
        <v>101</v>
      </c>
      <c r="D508" s="16" t="s">
        <v>102</v>
      </c>
      <c r="E508" s="16" t="n">
        <v>237</v>
      </c>
      <c r="F508" s="16" t="s">
        <v>147</v>
      </c>
      <c r="G508" s="16" t="s">
        <v>42</v>
      </c>
      <c r="H508" s="16" t="n">
        <v>240</v>
      </c>
      <c r="I508" s="19" t="n">
        <f aca="false">IFERROR(IF(D508="Sale",H508*VLOOKUP(G508,Product_Master!$A:$F,6,FALSE()),IF(D508="Purchase",H508*VLOOKUP(G508,Product_Master!$A:$F,5,FALSE()),0)),0)</f>
        <v>26880</v>
      </c>
    </row>
    <row r="509" customFormat="false" ht="14.25" hidden="false" customHeight="true" outlineLevel="0" collapsed="false">
      <c r="A509" s="15" t="n">
        <v>508</v>
      </c>
      <c r="B509" s="18" t="n">
        <v>46203</v>
      </c>
      <c r="C509" s="16" t="s">
        <v>101</v>
      </c>
      <c r="D509" s="16" t="s">
        <v>102</v>
      </c>
      <c r="E509" s="16" t="n">
        <v>237</v>
      </c>
      <c r="F509" s="16" t="s">
        <v>147</v>
      </c>
      <c r="G509" s="16" t="s">
        <v>44</v>
      </c>
      <c r="H509" s="16" t="n">
        <v>240</v>
      </c>
      <c r="I509" s="19" t="n">
        <f aca="false">IFERROR(IF(D509="Sale",H509*VLOOKUP(G509,Product_Master!$A:$F,6,FALSE()),IF(D509="Purchase",H509*VLOOKUP(G509,Product_Master!$A:$F,5,FALSE()),0)),0)</f>
        <v>32400</v>
      </c>
    </row>
    <row r="510" customFormat="false" ht="14.25" hidden="false" customHeight="true" outlineLevel="0" collapsed="false">
      <c r="A510" s="15" t="n">
        <v>509</v>
      </c>
      <c r="B510" s="18" t="n">
        <v>46203</v>
      </c>
      <c r="C510" s="16" t="s">
        <v>101</v>
      </c>
      <c r="D510" s="16" t="s">
        <v>102</v>
      </c>
      <c r="E510" s="16" t="n">
        <v>237</v>
      </c>
      <c r="F510" s="16" t="s">
        <v>147</v>
      </c>
      <c r="G510" s="16" t="s">
        <v>51</v>
      </c>
      <c r="H510" s="16" t="n">
        <v>60</v>
      </c>
      <c r="I510" s="19" t="n">
        <f aca="false">IFERROR(IF(D510="Sale",H510*VLOOKUP(G510,Product_Master!$A:$F,6,FALSE()),IF(D510="Purchase",H510*VLOOKUP(G510,Product_Master!$A:$F,5,FALSE()),0)),0)</f>
        <v>16920</v>
      </c>
    </row>
    <row r="511" customFormat="false" ht="14.25" hidden="false" customHeight="true" outlineLevel="0" collapsed="false">
      <c r="A511" s="15" t="n">
        <v>510</v>
      </c>
      <c r="B511" s="18" t="n">
        <v>46203</v>
      </c>
      <c r="C511" s="16" t="s">
        <v>101</v>
      </c>
      <c r="D511" s="16" t="s">
        <v>102</v>
      </c>
      <c r="E511" s="16" t="n">
        <v>238</v>
      </c>
      <c r="F511" s="16" t="s">
        <v>138</v>
      </c>
      <c r="G511" s="16" t="s">
        <v>40</v>
      </c>
      <c r="H511" s="16" t="n">
        <v>120</v>
      </c>
      <c r="I511" s="19" t="n">
        <f aca="false">IFERROR(IF(D511="Sale",H511*VLOOKUP(G511,Product_Master!$A:$F,6,FALSE()),IF(D511="Purchase",H511*VLOOKUP(G511,Product_Master!$A:$F,5,FALSE()),0)),0)</f>
        <v>12240</v>
      </c>
    </row>
    <row r="512" customFormat="false" ht="14.25" hidden="true" customHeight="true" outlineLevel="0" collapsed="false">
      <c r="A512" s="15" t="n">
        <v>511</v>
      </c>
      <c r="B512" s="18"/>
      <c r="C512" s="16" t="s">
        <v>101</v>
      </c>
      <c r="D512" s="16" t="s">
        <v>111</v>
      </c>
      <c r="E512" s="16"/>
      <c r="F512" s="16" t="s">
        <v>196</v>
      </c>
      <c r="G512" s="16" t="s">
        <v>91</v>
      </c>
      <c r="H512" s="16" t="n">
        <v>2200</v>
      </c>
      <c r="I512" s="19" t="n">
        <f aca="false">IFERROR(IF(D512="Sale",H512*VLOOKUP(G512,Product_Master!$A:$F,6,FALSE()),IF(D512="Purchase",H512*VLOOKUP(G512,Product_Master!$A:$F,5,FALSE()),0)),0)</f>
        <v>352000</v>
      </c>
    </row>
    <row r="513" customFormat="false" ht="14.25" hidden="true" customHeight="true" outlineLevel="0" collapsed="false">
      <c r="A513" s="15" t="n">
        <v>512</v>
      </c>
      <c r="B513" s="18"/>
      <c r="C513" s="16" t="s">
        <v>101</v>
      </c>
      <c r="D513" s="16" t="s">
        <v>111</v>
      </c>
      <c r="E513" s="16"/>
      <c r="F513" s="16" t="s">
        <v>174</v>
      </c>
      <c r="G513" s="16" t="s">
        <v>42</v>
      </c>
      <c r="H513" s="16" t="n">
        <v>600</v>
      </c>
      <c r="I513" s="19" t="n">
        <f aca="false">IFERROR(IF(D513="Sale",H513*VLOOKUP(G513,Product_Master!$A:$F,6,FALSE()),IF(D513="Purchase",H513*VLOOKUP(G513,Product_Master!$A:$F,5,FALSE()),0)),0)</f>
        <v>59400</v>
      </c>
    </row>
    <row r="514" customFormat="false" ht="14.25" hidden="true" customHeight="true" outlineLevel="0" collapsed="false">
      <c r="A514" s="15" t="n">
        <v>513</v>
      </c>
      <c r="B514" s="18"/>
      <c r="C514" s="16" t="s">
        <v>101</v>
      </c>
      <c r="D514" s="16" t="s">
        <v>111</v>
      </c>
      <c r="E514" s="16"/>
      <c r="F514" s="16" t="s">
        <v>174</v>
      </c>
      <c r="G514" s="16" t="s">
        <v>61</v>
      </c>
      <c r="H514" s="16" t="n">
        <v>30</v>
      </c>
      <c r="I514" s="19" t="n">
        <f aca="false">IFERROR(IF(D514="Sale",H514*VLOOKUP(G514,Product_Master!$A:$F,6,FALSE()),IF(D514="Purchase",H514*VLOOKUP(G514,Product_Master!$A:$F,5,FALSE()),0)),0)</f>
        <v>4470</v>
      </c>
    </row>
    <row r="515" customFormat="false" ht="14.25" hidden="true" customHeight="true" outlineLevel="0" collapsed="false">
      <c r="A515" s="15" t="n">
        <v>514</v>
      </c>
      <c r="B515" s="18"/>
      <c r="C515" s="16" t="s">
        <v>101</v>
      </c>
      <c r="D515" s="16" t="s">
        <v>197</v>
      </c>
      <c r="E515" s="16"/>
      <c r="F515" s="16" t="s">
        <v>198</v>
      </c>
      <c r="G515" s="16" t="s">
        <v>38</v>
      </c>
      <c r="H515" s="16" t="n">
        <v>110</v>
      </c>
      <c r="I515" s="19" t="n">
        <f aca="false">IFERROR(IF(D515="Sale",H515*VLOOKUP(G515,Product_Master!$A:$F,6,FALSE()),IF(D515="Purchase",H515*VLOOKUP(G515,Product_Master!$A:$F,5,FALSE()),0)),0)</f>
        <v>0</v>
      </c>
    </row>
    <row r="516" customFormat="false" ht="14.25" hidden="true" customHeight="true" outlineLevel="0" collapsed="false">
      <c r="A516" s="15" t="n">
        <v>515</v>
      </c>
      <c r="B516" s="18"/>
      <c r="C516" s="16" t="s">
        <v>101</v>
      </c>
      <c r="D516" s="16" t="s">
        <v>197</v>
      </c>
      <c r="E516" s="16"/>
      <c r="F516" s="16" t="s">
        <v>198</v>
      </c>
      <c r="G516" s="16" t="s">
        <v>39</v>
      </c>
      <c r="H516" s="16" t="n">
        <v>120</v>
      </c>
      <c r="I516" s="19" t="n">
        <f aca="false">IFERROR(IF(D516="Sale",H516*VLOOKUP(G516,Product_Master!$A:$F,6,FALSE()),IF(D516="Purchase",H516*VLOOKUP(G516,Product_Master!$A:$F,5,FALSE()),0)),0)</f>
        <v>0</v>
      </c>
    </row>
    <row r="517" customFormat="false" ht="14.25" hidden="true" customHeight="true" outlineLevel="0" collapsed="false">
      <c r="A517" s="15" t="n">
        <v>516</v>
      </c>
      <c r="B517" s="18"/>
      <c r="C517" s="16" t="s">
        <v>101</v>
      </c>
      <c r="D517" s="16" t="s">
        <v>197</v>
      </c>
      <c r="E517" s="16"/>
      <c r="F517" s="16" t="s">
        <v>198</v>
      </c>
      <c r="G517" s="16" t="s">
        <v>41</v>
      </c>
      <c r="H517" s="16" t="n">
        <v>-240</v>
      </c>
      <c r="I517" s="19" t="n">
        <f aca="false">IFERROR(IF(D517="Sale",H517*VLOOKUP(G517,Product_Master!$A:$F,6,FALSE()),IF(D517="Purchase",H517*VLOOKUP(G517,Product_Master!$A:$F,5,FALSE()),0)),0)</f>
        <v>0</v>
      </c>
    </row>
    <row r="518" customFormat="false" ht="14.25" hidden="true" customHeight="true" outlineLevel="0" collapsed="false">
      <c r="A518" s="15" t="n">
        <v>517</v>
      </c>
      <c r="B518" s="18"/>
      <c r="C518" s="16" t="s">
        <v>101</v>
      </c>
      <c r="D518" s="16" t="s">
        <v>197</v>
      </c>
      <c r="E518" s="16"/>
      <c r="F518" s="16" t="s">
        <v>198</v>
      </c>
      <c r="G518" s="16" t="s">
        <v>42</v>
      </c>
      <c r="H518" s="16" t="n">
        <v>-384</v>
      </c>
      <c r="I518" s="19" t="n">
        <f aca="false">IFERROR(IF(D518="Sale",H518*VLOOKUP(G518,Product_Master!$A:$F,6,FALSE()),IF(D518="Purchase",H518*VLOOKUP(G518,Product_Master!$A:$F,5,FALSE()),0)),0)</f>
        <v>0</v>
      </c>
    </row>
    <row r="519" customFormat="false" ht="14.25" hidden="true" customHeight="true" outlineLevel="0" collapsed="false">
      <c r="A519" s="15" t="n">
        <v>518</v>
      </c>
      <c r="B519" s="18"/>
      <c r="C519" s="16" t="s">
        <v>101</v>
      </c>
      <c r="D519" s="16" t="s">
        <v>197</v>
      </c>
      <c r="E519" s="16"/>
      <c r="F519" s="16" t="s">
        <v>198</v>
      </c>
      <c r="G519" s="16" t="s">
        <v>43</v>
      </c>
      <c r="H519" s="16" t="n">
        <v>-360</v>
      </c>
      <c r="I519" s="19" t="n">
        <f aca="false">IFERROR(IF(D519="Sale",H519*VLOOKUP(G519,Product_Master!$A:$F,6,FALSE()),IF(D519="Purchase",H519*VLOOKUP(G519,Product_Master!$A:$F,5,FALSE()),0)),0)</f>
        <v>0</v>
      </c>
    </row>
    <row r="520" customFormat="false" ht="14.25" hidden="true" customHeight="true" outlineLevel="0" collapsed="false">
      <c r="A520" s="15" t="n">
        <v>519</v>
      </c>
      <c r="B520" s="18"/>
      <c r="C520" s="16" t="s">
        <v>101</v>
      </c>
      <c r="D520" s="16" t="s">
        <v>197</v>
      </c>
      <c r="E520" s="16"/>
      <c r="F520" s="16" t="s">
        <v>198</v>
      </c>
      <c r="G520" s="16" t="s">
        <v>56</v>
      </c>
      <c r="H520" s="16" t="n">
        <v>119</v>
      </c>
      <c r="I520" s="19" t="n">
        <f aca="false">IFERROR(IF(D520="Sale",H520*VLOOKUP(G520,Product_Master!$A:$F,6,FALSE()),IF(D520="Purchase",H520*VLOOKUP(G520,Product_Master!$A:$F,5,FALSE()),0)),0)</f>
        <v>0</v>
      </c>
    </row>
    <row r="521" customFormat="false" ht="14.25" hidden="true" customHeight="true" outlineLevel="0" collapsed="false">
      <c r="A521" s="15" t="n">
        <v>520</v>
      </c>
      <c r="B521" s="18"/>
      <c r="C521" s="16" t="s">
        <v>101</v>
      </c>
      <c r="D521" s="16" t="s">
        <v>197</v>
      </c>
      <c r="E521" s="16"/>
      <c r="F521" s="16" t="s">
        <v>198</v>
      </c>
      <c r="G521" s="16" t="s">
        <v>58</v>
      </c>
      <c r="H521" s="16" t="n">
        <v>-27</v>
      </c>
      <c r="I521" s="19" t="n">
        <f aca="false">IFERROR(IF(D521="Sale",H521*VLOOKUP(G521,Product_Master!$A:$F,6,FALSE()),IF(D521="Purchase",H521*VLOOKUP(G521,Product_Master!$A:$F,5,FALSE()),0)),0)</f>
        <v>0</v>
      </c>
    </row>
    <row r="522" customFormat="false" ht="14.25" hidden="true" customHeight="true" outlineLevel="0" collapsed="false">
      <c r="A522" s="15" t="n">
        <v>521</v>
      </c>
      <c r="B522" s="18"/>
      <c r="C522" s="16" t="s">
        <v>101</v>
      </c>
      <c r="D522" s="16" t="s">
        <v>197</v>
      </c>
      <c r="E522" s="16"/>
      <c r="F522" s="16" t="s">
        <v>198</v>
      </c>
      <c r="G522" s="16" t="s">
        <v>60</v>
      </c>
      <c r="H522" s="16" t="n">
        <v>216</v>
      </c>
      <c r="I522" s="19" t="n">
        <f aca="false">IFERROR(IF(D522="Sale",H522*VLOOKUP(G522,Product_Master!$A:$F,6,FALSE()),IF(D522="Purchase",H522*VLOOKUP(G522,Product_Master!$A:$F,5,FALSE()),0)),0)</f>
        <v>0</v>
      </c>
    </row>
    <row r="523" customFormat="false" ht="14.25" hidden="true" customHeight="true" outlineLevel="0" collapsed="false">
      <c r="A523" s="15" t="n">
        <v>522</v>
      </c>
      <c r="B523" s="18"/>
      <c r="C523" s="16" t="s">
        <v>101</v>
      </c>
      <c r="D523" s="16" t="s">
        <v>197</v>
      </c>
      <c r="E523" s="16"/>
      <c r="F523" s="16" t="s">
        <v>198</v>
      </c>
      <c r="G523" s="16" t="s">
        <v>61</v>
      </c>
      <c r="H523" s="16" t="n">
        <v>1.9</v>
      </c>
      <c r="I523" s="19" t="n">
        <f aca="false">IFERROR(IF(D523="Sale",H523*VLOOKUP(G523,Product_Master!$A:$F,6,FALSE()),IF(D523="Purchase",H523*VLOOKUP(G523,Product_Master!$A:$F,5,FALSE()),0)),0)</f>
        <v>0</v>
      </c>
    </row>
    <row r="524" customFormat="false" ht="14.25" hidden="true" customHeight="true" outlineLevel="0" collapsed="false">
      <c r="A524" s="15" t="n">
        <v>523</v>
      </c>
      <c r="B524" s="18"/>
      <c r="C524" s="16" t="s">
        <v>101</v>
      </c>
      <c r="D524" s="16" t="s">
        <v>197</v>
      </c>
      <c r="E524" s="16"/>
      <c r="F524" s="16" t="s">
        <v>198</v>
      </c>
      <c r="G524" s="16" t="s">
        <v>66</v>
      </c>
      <c r="H524" s="16" t="n">
        <v>-24</v>
      </c>
      <c r="I524" s="19" t="n">
        <f aca="false">IFERROR(IF(D524="Sale",H524*VLOOKUP(G524,Product_Master!$A:$F,6,FALSE()),IF(D524="Purchase",H524*VLOOKUP(G524,Product_Master!$A:$F,5,FALSE()),0)),0)</f>
        <v>0</v>
      </c>
    </row>
    <row r="525" customFormat="false" ht="14.25" hidden="true" customHeight="true" outlineLevel="0" collapsed="false">
      <c r="A525" s="15" t="n">
        <v>524</v>
      </c>
      <c r="B525" s="18"/>
      <c r="C525" s="16" t="s">
        <v>101</v>
      </c>
      <c r="D525" s="16" t="s">
        <v>197</v>
      </c>
      <c r="E525" s="16"/>
      <c r="F525" s="16" t="s">
        <v>198</v>
      </c>
      <c r="G525" s="16" t="s">
        <v>72</v>
      </c>
      <c r="H525" s="16" t="n">
        <v>451</v>
      </c>
      <c r="I525" s="19" t="n">
        <f aca="false">IFERROR(IF(D525="Sale",H525*VLOOKUP(G525,Product_Master!$A:$F,6,FALSE()),IF(D525="Purchase",H525*VLOOKUP(G525,Product_Master!$A:$F,5,FALSE()),0)),0)</f>
        <v>0</v>
      </c>
    </row>
    <row r="526" customFormat="false" ht="14.25" hidden="true" customHeight="true" outlineLevel="0" collapsed="false">
      <c r="A526" s="15" t="n">
        <v>525</v>
      </c>
      <c r="B526" s="18" t="n">
        <v>46197</v>
      </c>
      <c r="C526" s="16" t="s">
        <v>199</v>
      </c>
      <c r="D526" s="16" t="s">
        <v>111</v>
      </c>
      <c r="E526" s="16" t="n">
        <v>523</v>
      </c>
      <c r="F526" s="16" t="s">
        <v>132</v>
      </c>
      <c r="G526" s="16" t="s">
        <v>40</v>
      </c>
      <c r="H526" s="16" t="n">
        <v>960</v>
      </c>
      <c r="I526" s="19" t="n">
        <f aca="false">IFERROR(IF(D526="Sale",H526*VLOOKUP(G526,Product_Master!$A:$F,6,FALSE()),IF(D526="Purchase",H526*VLOOKUP(G526,Product_Master!$A:$F,5,FALSE()),0)),0)</f>
        <v>90240</v>
      </c>
    </row>
    <row r="527" customFormat="false" ht="14.25" hidden="true" customHeight="true" outlineLevel="0" collapsed="false">
      <c r="A527" s="15" t="n">
        <v>526</v>
      </c>
      <c r="B527" s="18" t="n">
        <v>46197</v>
      </c>
      <c r="C527" s="16" t="s">
        <v>199</v>
      </c>
      <c r="D527" s="16" t="s">
        <v>111</v>
      </c>
      <c r="E527" s="16" t="n">
        <v>523</v>
      </c>
      <c r="F527" s="16" t="s">
        <v>132</v>
      </c>
      <c r="G527" s="16" t="s">
        <v>41</v>
      </c>
      <c r="H527" s="16" t="n">
        <v>240</v>
      </c>
      <c r="I527" s="19" t="n">
        <f aca="false">IFERROR(IF(D527="Sale",H527*VLOOKUP(G527,Product_Master!$A:$F,6,FALSE()),IF(D527="Purchase",H527*VLOOKUP(G527,Product_Master!$A:$F,5,FALSE()),0)),0)</f>
        <v>23280</v>
      </c>
    </row>
    <row r="528" customFormat="false" ht="14.25" hidden="true" customHeight="true" outlineLevel="0" collapsed="false">
      <c r="A528" s="15" t="n">
        <v>527</v>
      </c>
      <c r="B528" s="18" t="n">
        <v>46197</v>
      </c>
      <c r="C528" s="16" t="s">
        <v>199</v>
      </c>
      <c r="D528" s="16" t="s">
        <v>111</v>
      </c>
      <c r="E528" s="16" t="n">
        <v>523</v>
      </c>
      <c r="F528" s="16" t="s">
        <v>132</v>
      </c>
      <c r="G528" s="16" t="s">
        <v>42</v>
      </c>
      <c r="H528" s="16" t="n">
        <v>240</v>
      </c>
      <c r="I528" s="19" t="n">
        <f aca="false">IFERROR(IF(D528="Sale",H528*VLOOKUP(G528,Product_Master!$A:$F,6,FALSE()),IF(D528="Purchase",H528*VLOOKUP(G528,Product_Master!$A:$F,5,FALSE()),0)),0)</f>
        <v>23760</v>
      </c>
    </row>
    <row r="529" customFormat="false" ht="14.25" hidden="true" customHeight="true" outlineLevel="0" collapsed="false">
      <c r="A529" s="15" t="n">
        <v>528</v>
      </c>
      <c r="B529" s="18" t="n">
        <v>46203</v>
      </c>
      <c r="C529" s="16" t="s">
        <v>199</v>
      </c>
      <c r="D529" s="16" t="s">
        <v>111</v>
      </c>
      <c r="E529" s="16" t="n">
        <v>552</v>
      </c>
      <c r="F529" s="16" t="s">
        <v>132</v>
      </c>
      <c r="G529" s="16" t="s">
        <v>38</v>
      </c>
      <c r="H529" s="16" t="n">
        <v>880</v>
      </c>
      <c r="I529" s="19" t="n">
        <f aca="false">IFERROR(IF(D529="Sale",H529*VLOOKUP(G529,Product_Master!$A:$F,6,FALSE()),IF(D529="Purchase",H529*VLOOKUP(G529,Product_Master!$A:$F,5,FALSE()),0)),0)</f>
        <v>81840</v>
      </c>
    </row>
    <row r="530" customFormat="false" ht="14.25" hidden="true" customHeight="true" outlineLevel="0" collapsed="false">
      <c r="A530" s="15" t="n">
        <v>529</v>
      </c>
      <c r="B530" s="18" t="n">
        <v>46203</v>
      </c>
      <c r="C530" s="16" t="s">
        <v>199</v>
      </c>
      <c r="D530" s="16" t="s">
        <v>111</v>
      </c>
      <c r="E530" s="16" t="n">
        <v>552</v>
      </c>
      <c r="F530" s="16" t="s">
        <v>132</v>
      </c>
      <c r="G530" s="16" t="s">
        <v>41</v>
      </c>
      <c r="H530" s="16" t="n">
        <v>3600</v>
      </c>
      <c r="I530" s="19" t="n">
        <f aca="false">IFERROR(IF(D530="Sale",H530*VLOOKUP(G530,Product_Master!$A:$F,6,FALSE()),IF(D530="Purchase",H530*VLOOKUP(G530,Product_Master!$A:$F,5,FALSE()),0)),0)</f>
        <v>349200</v>
      </c>
    </row>
    <row r="531" customFormat="false" ht="14.25" hidden="true" customHeight="true" outlineLevel="0" collapsed="false">
      <c r="A531" s="15" t="n">
        <v>530</v>
      </c>
      <c r="B531" s="18" t="n">
        <v>46203</v>
      </c>
      <c r="C531" s="16" t="s">
        <v>199</v>
      </c>
      <c r="D531" s="16" t="s">
        <v>111</v>
      </c>
      <c r="E531" s="16" t="n">
        <v>552</v>
      </c>
      <c r="F531" s="16" t="s">
        <v>132</v>
      </c>
      <c r="G531" s="16" t="s">
        <v>42</v>
      </c>
      <c r="H531" s="16" t="n">
        <v>12000</v>
      </c>
      <c r="I531" s="19" t="n">
        <f aca="false">IFERROR(IF(D531="Sale",H531*VLOOKUP(G531,Product_Master!$A:$F,6,FALSE()),IF(D531="Purchase",H531*VLOOKUP(G531,Product_Master!$A:$F,5,FALSE()),0)),0)</f>
        <v>1188000</v>
      </c>
    </row>
    <row r="532" customFormat="false" ht="14.25" hidden="true" customHeight="true" outlineLevel="0" collapsed="false">
      <c r="A532" s="15" t="n">
        <v>531</v>
      </c>
      <c r="B532" s="18" t="n">
        <v>46203</v>
      </c>
      <c r="C532" s="16" t="s">
        <v>199</v>
      </c>
      <c r="D532" s="16" t="s">
        <v>111</v>
      </c>
      <c r="E532" s="16" t="n">
        <v>552</v>
      </c>
      <c r="F532" s="16" t="s">
        <v>132</v>
      </c>
      <c r="G532" s="16" t="s">
        <v>43</v>
      </c>
      <c r="H532" s="16" t="n">
        <v>1200</v>
      </c>
      <c r="I532" s="19" t="n">
        <f aca="false">IFERROR(IF(D532="Sale",H532*VLOOKUP(G532,Product_Master!$A:$F,6,FALSE()),IF(D532="Purchase",H532*VLOOKUP(G532,Product_Master!$A:$F,5,FALSE()),0)),0)</f>
        <v>162000</v>
      </c>
    </row>
    <row r="533" customFormat="false" ht="14.25" hidden="true" customHeight="true" outlineLevel="0" collapsed="false">
      <c r="A533" s="15" t="n">
        <v>532</v>
      </c>
      <c r="B533" s="18" t="n">
        <v>46203</v>
      </c>
      <c r="C533" s="16" t="s">
        <v>199</v>
      </c>
      <c r="D533" s="16" t="s">
        <v>111</v>
      </c>
      <c r="E533" s="16" t="n">
        <v>553</v>
      </c>
      <c r="F533" s="16" t="s">
        <v>132</v>
      </c>
      <c r="G533" s="16" t="s">
        <v>61</v>
      </c>
      <c r="H533" s="16" t="n">
        <v>180</v>
      </c>
      <c r="I533" s="19" t="n">
        <f aca="false">IFERROR(IF(D533="Sale",H533*VLOOKUP(G533,Product_Master!$A:$F,6,FALSE()),IF(D533="Purchase",H533*VLOOKUP(G533,Product_Master!$A:$F,5,FALSE()),0)),0)</f>
        <v>26820</v>
      </c>
    </row>
    <row r="534" customFormat="false" ht="14.25" hidden="false" customHeight="true" outlineLevel="0" collapsed="false">
      <c r="A534" s="15" t="n">
        <v>533</v>
      </c>
      <c r="B534" s="18" t="n">
        <v>46204</v>
      </c>
      <c r="C534" s="16" t="s">
        <v>199</v>
      </c>
      <c r="D534" s="16" t="s">
        <v>102</v>
      </c>
      <c r="E534" s="16" t="n">
        <v>239</v>
      </c>
      <c r="F534" s="16" t="s">
        <v>126</v>
      </c>
      <c r="G534" s="16" t="s">
        <v>41</v>
      </c>
      <c r="H534" s="16" t="n">
        <v>480</v>
      </c>
      <c r="I534" s="19" t="n">
        <f aca="false">IFERROR(IF(D534="Sale",H534*VLOOKUP(G534,Product_Master!$A:$F,6,FALSE()),IF(D534="Purchase",H534*VLOOKUP(G534,Product_Master!$A:$F,5,FALSE()),0)),0)</f>
        <v>53280</v>
      </c>
    </row>
    <row r="535" customFormat="false" ht="14.25" hidden="false" customHeight="true" outlineLevel="0" collapsed="false">
      <c r="A535" s="15" t="n">
        <v>534</v>
      </c>
      <c r="B535" s="18" t="n">
        <v>46204</v>
      </c>
      <c r="C535" s="16" t="s">
        <v>199</v>
      </c>
      <c r="D535" s="16" t="s">
        <v>102</v>
      </c>
      <c r="E535" s="16" t="n">
        <v>239</v>
      </c>
      <c r="F535" s="16" t="s">
        <v>126</v>
      </c>
      <c r="G535" s="16" t="s">
        <v>42</v>
      </c>
      <c r="H535" s="16" t="n">
        <v>360</v>
      </c>
      <c r="I535" s="19" t="n">
        <f aca="false">IFERROR(IF(D535="Sale",H535*VLOOKUP(G535,Product_Master!$A:$F,6,FALSE()),IF(D535="Purchase",H535*VLOOKUP(G535,Product_Master!$A:$F,5,FALSE()),0)),0)</f>
        <v>40320</v>
      </c>
    </row>
    <row r="536" customFormat="false" ht="14.25" hidden="false" customHeight="true" outlineLevel="0" collapsed="false">
      <c r="A536" s="15" t="n">
        <v>535</v>
      </c>
      <c r="B536" s="18" t="n">
        <v>46204</v>
      </c>
      <c r="C536" s="16" t="s">
        <v>199</v>
      </c>
      <c r="D536" s="16" t="s">
        <v>102</v>
      </c>
      <c r="E536" s="16" t="n">
        <v>239</v>
      </c>
      <c r="F536" s="16" t="s">
        <v>126</v>
      </c>
      <c r="G536" s="16" t="s">
        <v>50</v>
      </c>
      <c r="H536" s="16" t="n">
        <v>300</v>
      </c>
      <c r="I536" s="19" t="n">
        <f aca="false">IFERROR(IF(D536="Sale",H536*VLOOKUP(G536,Product_Master!$A:$F,6,FALSE()),IF(D536="Purchase",H536*VLOOKUP(G536,Product_Master!$A:$F,5,FALSE()),0)),0)</f>
        <v>67500</v>
      </c>
    </row>
    <row r="537" customFormat="false" ht="14.25" hidden="false" customHeight="true" outlineLevel="0" collapsed="false">
      <c r="A537" s="15" t="n">
        <v>536</v>
      </c>
      <c r="B537" s="18" t="n">
        <v>46204</v>
      </c>
      <c r="C537" s="16" t="s">
        <v>199</v>
      </c>
      <c r="D537" s="16" t="s">
        <v>102</v>
      </c>
      <c r="E537" s="16" t="n">
        <v>239</v>
      </c>
      <c r="F537" s="16" t="s">
        <v>126</v>
      </c>
      <c r="G537" s="16" t="s">
        <v>55</v>
      </c>
      <c r="H537" s="16" t="n">
        <v>125</v>
      </c>
      <c r="I537" s="19" t="n">
        <f aca="false">IFERROR(IF(D537="Sale",H537*VLOOKUP(G537,Product_Master!$A:$F,6,FALSE()),IF(D537="Purchase",H537*VLOOKUP(G537,Product_Master!$A:$F,5,FALSE()),0)),0)</f>
        <v>22500</v>
      </c>
    </row>
    <row r="538" customFormat="false" ht="14.25" hidden="false" customHeight="true" outlineLevel="0" collapsed="false">
      <c r="A538" s="15" t="n">
        <v>537</v>
      </c>
      <c r="B538" s="18" t="n">
        <v>46204</v>
      </c>
      <c r="C538" s="16" t="s">
        <v>199</v>
      </c>
      <c r="D538" s="16" t="s">
        <v>102</v>
      </c>
      <c r="E538" s="16" t="n">
        <v>240</v>
      </c>
      <c r="F538" s="16" t="s">
        <v>144</v>
      </c>
      <c r="G538" s="16" t="s">
        <v>58</v>
      </c>
      <c r="H538" s="16" t="n">
        <v>1000</v>
      </c>
      <c r="I538" s="19" t="n">
        <f aca="false">IFERROR(IF(D538="Sale",H538*VLOOKUP(G538,Product_Master!$A:$F,6,FALSE()),IF(D538="Purchase",H538*VLOOKUP(G538,Product_Master!$A:$F,5,FALSE()),0)),0)</f>
        <v>203000</v>
      </c>
    </row>
    <row r="539" customFormat="false" ht="14.25" hidden="false" customHeight="true" outlineLevel="0" collapsed="false">
      <c r="A539" s="15" t="n">
        <v>538</v>
      </c>
      <c r="B539" s="18" t="n">
        <v>46204</v>
      </c>
      <c r="C539" s="16" t="s">
        <v>199</v>
      </c>
      <c r="D539" s="16" t="s">
        <v>102</v>
      </c>
      <c r="E539" s="16" t="n">
        <v>241</v>
      </c>
      <c r="F539" s="16" t="s">
        <v>200</v>
      </c>
      <c r="G539" s="16" t="s">
        <v>91</v>
      </c>
      <c r="H539" s="16" t="n">
        <v>10</v>
      </c>
      <c r="I539" s="19" t="n">
        <f aca="false">IFERROR(IF(D539="Sale",H539*VLOOKUP(G539,Product_Master!$A:$F,6,FALSE()),IF(D539="Purchase",H539*VLOOKUP(G539,Product_Master!$A:$F,5,FALSE()),0)),0)</f>
        <v>2700</v>
      </c>
    </row>
    <row r="540" customFormat="false" ht="14.25" hidden="false" customHeight="true" outlineLevel="0" collapsed="false">
      <c r="A540" s="15" t="n">
        <v>539</v>
      </c>
      <c r="B540" s="18" t="n">
        <v>46204</v>
      </c>
      <c r="C540" s="16" t="s">
        <v>199</v>
      </c>
      <c r="D540" s="16" t="s">
        <v>102</v>
      </c>
      <c r="E540" s="16" t="n">
        <v>242</v>
      </c>
      <c r="F540" s="16" t="s">
        <v>201</v>
      </c>
      <c r="G540" s="16" t="s">
        <v>41</v>
      </c>
      <c r="H540" s="16" t="n">
        <v>120</v>
      </c>
      <c r="I540" s="19" t="n">
        <f aca="false">IFERROR(IF(D540="Sale",H540*VLOOKUP(G540,Product_Master!$A:$F,6,FALSE()),IF(D540="Purchase",H540*VLOOKUP(G540,Product_Master!$A:$F,5,FALSE()),0)),0)</f>
        <v>13320</v>
      </c>
    </row>
    <row r="541" customFormat="false" ht="14.25" hidden="false" customHeight="true" outlineLevel="0" collapsed="false">
      <c r="A541" s="15" t="n">
        <v>540</v>
      </c>
      <c r="B541" s="18" t="n">
        <v>46204</v>
      </c>
      <c r="C541" s="16" t="s">
        <v>199</v>
      </c>
      <c r="D541" s="16" t="s">
        <v>102</v>
      </c>
      <c r="E541" s="16" t="n">
        <v>242</v>
      </c>
      <c r="F541" s="16" t="s">
        <v>201</v>
      </c>
      <c r="G541" s="16" t="s">
        <v>42</v>
      </c>
      <c r="H541" s="16" t="n">
        <v>120</v>
      </c>
      <c r="I541" s="19" t="n">
        <f aca="false">IFERROR(IF(D541="Sale",H541*VLOOKUP(G541,Product_Master!$A:$F,6,FALSE()),IF(D541="Purchase",H541*VLOOKUP(G541,Product_Master!$A:$F,5,FALSE()),0)),0)</f>
        <v>13440</v>
      </c>
    </row>
    <row r="542" customFormat="false" ht="14.25" hidden="false" customHeight="true" outlineLevel="0" collapsed="false">
      <c r="A542" s="15" t="n">
        <v>541</v>
      </c>
      <c r="B542" s="18" t="n">
        <v>46204</v>
      </c>
      <c r="C542" s="16" t="s">
        <v>199</v>
      </c>
      <c r="D542" s="16" t="s">
        <v>102</v>
      </c>
      <c r="E542" s="16" t="n">
        <v>243</v>
      </c>
      <c r="F542" s="16" t="s">
        <v>122</v>
      </c>
      <c r="G542" s="16" t="s">
        <v>60</v>
      </c>
      <c r="H542" s="16" t="n">
        <v>120</v>
      </c>
      <c r="I542" s="19" t="n">
        <f aca="false">IFERROR(IF(D542="Sale",H542*VLOOKUP(G542,Product_Master!$A:$F,6,FALSE()),IF(D542="Purchase",H542*VLOOKUP(G542,Product_Master!$A:$F,5,FALSE()),0)),0)</f>
        <v>23760</v>
      </c>
    </row>
    <row r="543" customFormat="false" ht="14.25" hidden="false" customHeight="true" outlineLevel="0" collapsed="false">
      <c r="A543" s="15" t="n">
        <v>542</v>
      </c>
      <c r="B543" s="18" t="n">
        <v>46204</v>
      </c>
      <c r="C543" s="16" t="s">
        <v>199</v>
      </c>
      <c r="D543" s="16" t="s">
        <v>102</v>
      </c>
      <c r="E543" s="16" t="n">
        <v>244</v>
      </c>
      <c r="F543" s="16" t="s">
        <v>152</v>
      </c>
      <c r="G543" s="16" t="s">
        <v>53</v>
      </c>
      <c r="H543" s="16" t="n">
        <v>125</v>
      </c>
      <c r="I543" s="19" t="n">
        <f aca="false">IFERROR(IF(D543="Sale",H543*VLOOKUP(G543,Product_Master!$A:$F,6,FALSE()),IF(D543="Purchase",H543*VLOOKUP(G543,Product_Master!$A:$F,5,FALSE()),0)),0)</f>
        <v>10625</v>
      </c>
    </row>
    <row r="544" customFormat="false" ht="14.25" hidden="false" customHeight="true" outlineLevel="0" collapsed="false">
      <c r="A544" s="15" t="n">
        <v>543</v>
      </c>
      <c r="B544" s="18" t="n">
        <v>46204</v>
      </c>
      <c r="C544" s="16" t="s">
        <v>199</v>
      </c>
      <c r="D544" s="16" t="s">
        <v>102</v>
      </c>
      <c r="E544" s="16" t="n">
        <v>245</v>
      </c>
      <c r="F544" s="16" t="s">
        <v>202</v>
      </c>
      <c r="G544" s="16" t="s">
        <v>41</v>
      </c>
      <c r="H544" s="16" t="n">
        <v>120</v>
      </c>
      <c r="I544" s="19" t="n">
        <f aca="false">IFERROR(IF(D544="Sale",H544*VLOOKUP(G544,Product_Master!$A:$F,6,FALSE()),IF(D544="Purchase",H544*VLOOKUP(G544,Product_Master!$A:$F,5,FALSE()),0)),0)</f>
        <v>13320</v>
      </c>
    </row>
    <row r="545" customFormat="false" ht="14.25" hidden="false" customHeight="true" outlineLevel="0" collapsed="false">
      <c r="A545" s="15" t="n">
        <v>544</v>
      </c>
      <c r="B545" s="18" t="n">
        <v>46204</v>
      </c>
      <c r="C545" s="16" t="s">
        <v>199</v>
      </c>
      <c r="D545" s="16" t="s">
        <v>102</v>
      </c>
      <c r="E545" s="16" t="n">
        <v>245</v>
      </c>
      <c r="F545" s="16" t="s">
        <v>202</v>
      </c>
      <c r="G545" s="16" t="s">
        <v>42</v>
      </c>
      <c r="H545" s="16" t="n">
        <v>120</v>
      </c>
      <c r="I545" s="19" t="n">
        <f aca="false">IFERROR(IF(D545="Sale",H545*VLOOKUP(G545,Product_Master!$A:$F,6,FALSE()),IF(D545="Purchase",H545*VLOOKUP(G545,Product_Master!$A:$F,5,FALSE()),0)),0)</f>
        <v>13440</v>
      </c>
    </row>
    <row r="546" customFormat="false" ht="14.25" hidden="false" customHeight="true" outlineLevel="0" collapsed="false">
      <c r="A546" s="15" t="n">
        <v>545</v>
      </c>
      <c r="B546" s="18" t="n">
        <v>46205</v>
      </c>
      <c r="C546" s="16" t="s">
        <v>199</v>
      </c>
      <c r="D546" s="16" t="s">
        <v>102</v>
      </c>
      <c r="E546" s="16" t="n">
        <v>246</v>
      </c>
      <c r="F546" s="16" t="s">
        <v>203</v>
      </c>
      <c r="G546" s="16" t="s">
        <v>40</v>
      </c>
      <c r="H546" s="16" t="n">
        <v>600</v>
      </c>
      <c r="I546" s="19" t="n">
        <f aca="false">IFERROR(IF(D546="Sale",H546*VLOOKUP(G546,Product_Master!$A:$F,6,FALSE()),IF(D546="Purchase",H546*VLOOKUP(G546,Product_Master!$A:$F,5,FALSE()),0)),0)</f>
        <v>61200</v>
      </c>
    </row>
    <row r="547" customFormat="false" ht="14.25" hidden="false" customHeight="true" outlineLevel="0" collapsed="false">
      <c r="A547" s="15" t="n">
        <v>546</v>
      </c>
      <c r="B547" s="18" t="n">
        <v>46205</v>
      </c>
      <c r="C547" s="16" t="s">
        <v>199</v>
      </c>
      <c r="D547" s="16" t="s">
        <v>102</v>
      </c>
      <c r="E547" s="16" t="n">
        <v>246</v>
      </c>
      <c r="F547" s="16" t="s">
        <v>203</v>
      </c>
      <c r="G547" s="16" t="s">
        <v>41</v>
      </c>
      <c r="H547" s="16" t="n">
        <v>600</v>
      </c>
      <c r="I547" s="19" t="n">
        <f aca="false">IFERROR(IF(D547="Sale",H547*VLOOKUP(G547,Product_Master!$A:$F,6,FALSE()),IF(D547="Purchase",H547*VLOOKUP(G547,Product_Master!$A:$F,5,FALSE()),0)),0)</f>
        <v>66600</v>
      </c>
    </row>
    <row r="548" customFormat="false" ht="14.25" hidden="false" customHeight="true" outlineLevel="0" collapsed="false">
      <c r="A548" s="15" t="n">
        <v>547</v>
      </c>
      <c r="B548" s="18" t="n">
        <v>46205</v>
      </c>
      <c r="C548" s="16" t="s">
        <v>199</v>
      </c>
      <c r="D548" s="16" t="s">
        <v>102</v>
      </c>
      <c r="E548" s="16" t="n">
        <v>246</v>
      </c>
      <c r="F548" s="16" t="s">
        <v>203</v>
      </c>
      <c r="G548" s="16" t="s">
        <v>56</v>
      </c>
      <c r="H548" s="16" t="n">
        <v>120</v>
      </c>
      <c r="I548" s="19" t="n">
        <f aca="false">IFERROR(IF(D548="Sale",H548*VLOOKUP(G548,Product_Master!$A:$F,6,FALSE()),IF(D548="Purchase",H548*VLOOKUP(G548,Product_Master!$A:$F,5,FALSE()),0)),0)</f>
        <v>12360</v>
      </c>
    </row>
    <row r="549" customFormat="false" ht="14.25" hidden="false" customHeight="true" outlineLevel="0" collapsed="false">
      <c r="A549" s="15" t="n">
        <v>548</v>
      </c>
      <c r="B549" s="18" t="n">
        <v>46205</v>
      </c>
      <c r="C549" s="16" t="s">
        <v>199</v>
      </c>
      <c r="D549" s="16" t="s">
        <v>102</v>
      </c>
      <c r="E549" s="16" t="n">
        <v>247</v>
      </c>
      <c r="F549" s="16" t="s">
        <v>115</v>
      </c>
      <c r="G549" s="16" t="s">
        <v>41</v>
      </c>
      <c r="H549" s="16" t="n">
        <v>240</v>
      </c>
      <c r="I549" s="19" t="n">
        <f aca="false">IFERROR(IF(D549="Sale",H549*VLOOKUP(G549,Product_Master!$A:$F,6,FALSE()),IF(D549="Purchase",H549*VLOOKUP(G549,Product_Master!$A:$F,5,FALSE()),0)),0)</f>
        <v>26640</v>
      </c>
    </row>
    <row r="550" customFormat="false" ht="14.25" hidden="false" customHeight="true" outlineLevel="0" collapsed="false">
      <c r="A550" s="15" t="n">
        <v>549</v>
      </c>
      <c r="B550" s="18" t="n">
        <v>46205</v>
      </c>
      <c r="C550" s="16" t="s">
        <v>199</v>
      </c>
      <c r="D550" s="16" t="s">
        <v>102</v>
      </c>
      <c r="E550" s="16" t="n">
        <v>248</v>
      </c>
      <c r="F550" s="16" t="s">
        <v>127</v>
      </c>
      <c r="G550" s="16" t="s">
        <v>49</v>
      </c>
      <c r="H550" s="16" t="n">
        <v>60</v>
      </c>
      <c r="I550" s="19" t="n">
        <f aca="false">IFERROR(IF(D550="Sale",H550*VLOOKUP(G550,Product_Master!$A:$F,6,FALSE()),IF(D550="Purchase",H550*VLOOKUP(G550,Product_Master!$A:$F,5,FALSE()),0)),0)</f>
        <v>7320</v>
      </c>
    </row>
    <row r="551" customFormat="false" ht="14.25" hidden="false" customHeight="true" outlineLevel="0" collapsed="false">
      <c r="A551" s="15" t="n">
        <v>550</v>
      </c>
      <c r="B551" s="18" t="n">
        <v>46205</v>
      </c>
      <c r="C551" s="16" t="s">
        <v>199</v>
      </c>
      <c r="D551" s="16" t="s">
        <v>102</v>
      </c>
      <c r="E551" s="16" t="n">
        <v>248</v>
      </c>
      <c r="F551" s="16" t="s">
        <v>127</v>
      </c>
      <c r="G551" s="16" t="s">
        <v>50</v>
      </c>
      <c r="H551" s="16" t="n">
        <v>75</v>
      </c>
      <c r="I551" s="19" t="n">
        <f aca="false">IFERROR(IF(D551="Sale",H551*VLOOKUP(G551,Product_Master!$A:$F,6,FALSE()),IF(D551="Purchase",H551*VLOOKUP(G551,Product_Master!$A:$F,5,FALSE()),0)),0)</f>
        <v>16875</v>
      </c>
    </row>
    <row r="552" customFormat="false" ht="14.25" hidden="false" customHeight="true" outlineLevel="0" collapsed="false">
      <c r="A552" s="15" t="n">
        <v>551</v>
      </c>
      <c r="B552" s="18" t="n">
        <v>46205</v>
      </c>
      <c r="C552" s="16" t="s">
        <v>199</v>
      </c>
      <c r="D552" s="16" t="s">
        <v>102</v>
      </c>
      <c r="E552" s="16" t="n">
        <v>249</v>
      </c>
      <c r="F552" s="16" t="s">
        <v>152</v>
      </c>
      <c r="G552" s="16" t="s">
        <v>38</v>
      </c>
      <c r="H552" s="16" t="n">
        <v>220</v>
      </c>
      <c r="I552" s="19" t="n">
        <f aca="false">IFERROR(IF(D552="Sale",H552*VLOOKUP(G552,Product_Master!$A:$F,6,FALSE()),IF(D552="Purchase",H552*VLOOKUP(G552,Product_Master!$A:$F,5,FALSE()),0)),0)</f>
        <v>20460</v>
      </c>
    </row>
    <row r="553" customFormat="false" ht="14.25" hidden="false" customHeight="true" outlineLevel="0" collapsed="false">
      <c r="A553" s="15" t="n">
        <v>552</v>
      </c>
      <c r="B553" s="18" t="n">
        <v>46205</v>
      </c>
      <c r="C553" s="16" t="s">
        <v>199</v>
      </c>
      <c r="D553" s="16" t="s">
        <v>102</v>
      </c>
      <c r="E553" s="16" t="n">
        <v>250</v>
      </c>
      <c r="F553" s="16" t="s">
        <v>201</v>
      </c>
      <c r="G553" s="16" t="s">
        <v>51</v>
      </c>
      <c r="H553" s="16" t="n">
        <v>60</v>
      </c>
      <c r="I553" s="19" t="n">
        <f aca="false">IFERROR(IF(D553="Sale",H553*VLOOKUP(G553,Product_Master!$A:$F,6,FALSE()),IF(D553="Purchase",H553*VLOOKUP(G553,Product_Master!$A:$F,5,FALSE()),0)),0)</f>
        <v>16920</v>
      </c>
    </row>
    <row r="554" customFormat="false" ht="14.25" hidden="false" customHeight="true" outlineLevel="0" collapsed="false">
      <c r="A554" s="15" t="n">
        <v>553</v>
      </c>
      <c r="B554" s="18" t="n">
        <v>46205</v>
      </c>
      <c r="C554" s="16" t="s">
        <v>199</v>
      </c>
      <c r="D554" s="16" t="s">
        <v>102</v>
      </c>
      <c r="E554" s="16" t="n">
        <v>133</v>
      </c>
      <c r="F554" s="16" t="s">
        <v>140</v>
      </c>
      <c r="G554" s="16" t="s">
        <v>50</v>
      </c>
      <c r="H554" s="16" t="n">
        <v>100</v>
      </c>
      <c r="I554" s="19" t="n">
        <f aca="false">IFERROR(IF(D554="Sale",H554*VLOOKUP(G554,Product_Master!$A:$F,6,FALSE()),IF(D554="Purchase",H554*VLOOKUP(G554,Product_Master!$A:$F,5,FALSE()),0)),0)</f>
        <v>22500</v>
      </c>
    </row>
    <row r="555" customFormat="false" ht="14.25" hidden="false" customHeight="true" outlineLevel="0" collapsed="false">
      <c r="A555" s="15" t="n">
        <v>554</v>
      </c>
      <c r="B555" s="18" t="n">
        <v>46206</v>
      </c>
      <c r="C555" s="16" t="s">
        <v>199</v>
      </c>
      <c r="D555" s="16" t="s">
        <v>102</v>
      </c>
      <c r="E555" s="16" t="n">
        <v>251</v>
      </c>
      <c r="F555" s="16" t="s">
        <v>108</v>
      </c>
      <c r="G555" s="16" t="s">
        <v>42</v>
      </c>
      <c r="H555" s="16" t="n">
        <v>720</v>
      </c>
      <c r="I555" s="19" t="n">
        <f aca="false">IFERROR(IF(D555="Sale",H555*VLOOKUP(G555,Product_Master!$A:$F,6,FALSE()),IF(D555="Purchase",H555*VLOOKUP(G555,Product_Master!$A:$F,5,FALSE()),0)),0)</f>
        <v>80640</v>
      </c>
    </row>
    <row r="556" customFormat="false" ht="14.25" hidden="false" customHeight="true" outlineLevel="0" collapsed="false">
      <c r="A556" s="15" t="n">
        <v>555</v>
      </c>
      <c r="B556" s="18" t="n">
        <v>46206</v>
      </c>
      <c r="C556" s="16" t="s">
        <v>199</v>
      </c>
      <c r="D556" s="16" t="s">
        <v>102</v>
      </c>
      <c r="E556" s="16" t="n">
        <v>252</v>
      </c>
      <c r="F556" s="16" t="s">
        <v>204</v>
      </c>
      <c r="G556" s="16" t="s">
        <v>38</v>
      </c>
      <c r="H556" s="16" t="n">
        <v>220</v>
      </c>
      <c r="I556" s="19" t="n">
        <f aca="false">IFERROR(IF(D556="Sale",H556*VLOOKUP(G556,Product_Master!$A:$F,6,FALSE()),IF(D556="Purchase",H556*VLOOKUP(G556,Product_Master!$A:$F,5,FALSE()),0)),0)</f>
        <v>20460</v>
      </c>
    </row>
    <row r="557" customFormat="false" ht="14.25" hidden="false" customHeight="true" outlineLevel="0" collapsed="false">
      <c r="A557" s="15" t="n">
        <v>556</v>
      </c>
      <c r="B557" s="18" t="n">
        <v>46206</v>
      </c>
      <c r="C557" s="16" t="s">
        <v>199</v>
      </c>
      <c r="D557" s="16" t="s">
        <v>102</v>
      </c>
      <c r="E557" s="16" t="n">
        <v>253</v>
      </c>
      <c r="F557" s="16" t="s">
        <v>205</v>
      </c>
      <c r="G557" s="16" t="s">
        <v>51</v>
      </c>
      <c r="H557" s="16" t="n">
        <v>50</v>
      </c>
      <c r="I557" s="19" t="n">
        <f aca="false">IFERROR(IF(D557="Sale",H557*VLOOKUP(G557,Product_Master!$A:$F,6,FALSE()),IF(D557="Purchase",H557*VLOOKUP(G557,Product_Master!$A:$F,5,FALSE()),0)),0)</f>
        <v>14100</v>
      </c>
    </row>
    <row r="558" customFormat="false" ht="14.25" hidden="false" customHeight="true" outlineLevel="0" collapsed="false">
      <c r="A558" s="15" t="n">
        <v>557</v>
      </c>
      <c r="B558" s="18" t="n">
        <v>46206</v>
      </c>
      <c r="C558" s="16" t="s">
        <v>199</v>
      </c>
      <c r="D558" s="16" t="s">
        <v>102</v>
      </c>
      <c r="E558" s="16" t="n">
        <v>253</v>
      </c>
      <c r="F558" s="16" t="s">
        <v>205</v>
      </c>
      <c r="G558" s="16" t="s">
        <v>73</v>
      </c>
      <c r="H558" s="16" t="n">
        <v>50</v>
      </c>
      <c r="I558" s="19" t="n">
        <f aca="false">IFERROR(IF(D558="Sale",H558*VLOOKUP(G558,Product_Master!$A:$F,6,FALSE()),IF(D558="Purchase",H558*VLOOKUP(G558,Product_Master!$A:$F,5,FALSE()),0)),0)</f>
        <v>7000</v>
      </c>
    </row>
    <row r="559" customFormat="false" ht="14.25" hidden="false" customHeight="true" outlineLevel="0" collapsed="false">
      <c r="A559" s="15" t="n">
        <v>558</v>
      </c>
      <c r="B559" s="18" t="n">
        <v>46206</v>
      </c>
      <c r="C559" s="16" t="s">
        <v>199</v>
      </c>
      <c r="D559" s="16" t="s">
        <v>102</v>
      </c>
      <c r="E559" s="16" t="n">
        <v>254</v>
      </c>
      <c r="F559" s="16" t="s">
        <v>200</v>
      </c>
      <c r="G559" s="16" t="s">
        <v>91</v>
      </c>
      <c r="H559" s="16" t="n">
        <v>120</v>
      </c>
      <c r="I559" s="19" t="n">
        <f aca="false">IFERROR(IF(D559="Sale",H559*VLOOKUP(G559,Product_Master!$A:$F,6,FALSE()),IF(D559="Purchase",H559*VLOOKUP(G559,Product_Master!$A:$F,5,FALSE()),0)),0)</f>
        <v>32400</v>
      </c>
    </row>
    <row r="560" customFormat="false" ht="14.25" hidden="false" customHeight="true" outlineLevel="0" collapsed="false">
      <c r="A560" s="15" t="n">
        <v>559</v>
      </c>
      <c r="B560" s="18" t="n">
        <v>46207</v>
      </c>
      <c r="C560" s="16" t="s">
        <v>199</v>
      </c>
      <c r="D560" s="16" t="s">
        <v>102</v>
      </c>
      <c r="E560" s="16" t="n">
        <v>255</v>
      </c>
      <c r="F560" s="16" t="s">
        <v>147</v>
      </c>
      <c r="G560" s="16" t="s">
        <v>42</v>
      </c>
      <c r="H560" s="16" t="n">
        <v>120</v>
      </c>
      <c r="I560" s="19" t="n">
        <f aca="false">IFERROR(IF(D560="Sale",H560*VLOOKUP(G560,Product_Master!$A:$F,6,FALSE()),IF(D560="Purchase",H560*VLOOKUP(G560,Product_Master!$A:$F,5,FALSE()),0)),0)</f>
        <v>13440</v>
      </c>
    </row>
    <row r="561" customFormat="false" ht="14.25" hidden="false" customHeight="true" outlineLevel="0" collapsed="false">
      <c r="A561" s="15" t="n">
        <v>560</v>
      </c>
      <c r="B561" s="18" t="n">
        <v>46207</v>
      </c>
      <c r="C561" s="16" t="s">
        <v>199</v>
      </c>
      <c r="D561" s="16" t="s">
        <v>102</v>
      </c>
      <c r="E561" s="16" t="n">
        <v>255</v>
      </c>
      <c r="F561" s="16" t="s">
        <v>147</v>
      </c>
      <c r="G561" s="16" t="s">
        <v>60</v>
      </c>
      <c r="H561" s="16" t="n">
        <v>120</v>
      </c>
      <c r="I561" s="19" t="n">
        <f aca="false">IFERROR(IF(D561="Sale",H561*VLOOKUP(G561,Product_Master!$A:$F,6,FALSE()),IF(D561="Purchase",H561*VLOOKUP(G561,Product_Master!$A:$F,5,FALSE()),0)),0)</f>
        <v>23760</v>
      </c>
    </row>
    <row r="562" customFormat="false" ht="14.25" hidden="false" customHeight="true" outlineLevel="0" collapsed="false">
      <c r="A562" s="15" t="n">
        <v>561</v>
      </c>
      <c r="B562" s="18" t="n">
        <v>46207</v>
      </c>
      <c r="C562" s="16" t="s">
        <v>199</v>
      </c>
      <c r="D562" s="16" t="s">
        <v>102</v>
      </c>
      <c r="E562" s="16" t="n">
        <v>255</v>
      </c>
      <c r="F562" s="16" t="s">
        <v>147</v>
      </c>
      <c r="G562" s="16" t="s">
        <v>67</v>
      </c>
      <c r="H562" s="16" t="n">
        <v>75</v>
      </c>
      <c r="I562" s="19" t="n">
        <f aca="false">IFERROR(IF(D562="Sale",H562*VLOOKUP(G562,Product_Master!$A:$F,6,FALSE()),IF(D562="Purchase",H562*VLOOKUP(G562,Product_Master!$A:$F,5,FALSE()),0)),0)</f>
        <v>24750</v>
      </c>
    </row>
    <row r="563" customFormat="false" ht="14.25" hidden="false" customHeight="true" outlineLevel="0" collapsed="false">
      <c r="A563" s="15" t="n">
        <v>562</v>
      </c>
      <c r="B563" s="18" t="n">
        <v>46209</v>
      </c>
      <c r="C563" s="16" t="s">
        <v>199</v>
      </c>
      <c r="D563" s="16" t="s">
        <v>102</v>
      </c>
      <c r="E563" s="16" t="n">
        <v>256</v>
      </c>
      <c r="F563" s="16" t="s">
        <v>136</v>
      </c>
      <c r="G563" s="16" t="s">
        <v>42</v>
      </c>
      <c r="H563" s="16" t="n">
        <v>3000</v>
      </c>
      <c r="I563" s="19" t="n">
        <f aca="false">IFERROR(IF(D563="Sale",H563*VLOOKUP(G563,Product_Master!$A:$F,6,FALSE()),IF(D563="Purchase",H563*VLOOKUP(G563,Product_Master!$A:$F,5,FALSE()),0)),0)</f>
        <v>336000</v>
      </c>
    </row>
    <row r="564" customFormat="false" ht="14.25" hidden="false" customHeight="true" outlineLevel="0" collapsed="false">
      <c r="A564" s="15" t="n">
        <v>563</v>
      </c>
      <c r="B564" s="18" t="n">
        <v>46209</v>
      </c>
      <c r="C564" s="16" t="s">
        <v>199</v>
      </c>
      <c r="D564" s="16" t="s">
        <v>102</v>
      </c>
      <c r="E564" s="16" t="n">
        <v>256</v>
      </c>
      <c r="F564" s="16" t="s">
        <v>136</v>
      </c>
      <c r="G564" s="16" t="s">
        <v>61</v>
      </c>
      <c r="H564" s="16" t="n">
        <v>180</v>
      </c>
      <c r="I564" s="19" t="n">
        <f aca="false">IFERROR(IF(D564="Sale",H564*VLOOKUP(G564,Product_Master!$A:$F,6,FALSE()),IF(D564="Purchase",H564*VLOOKUP(G564,Product_Master!$A:$F,5,FALSE()),0)),0)</f>
        <v>41220</v>
      </c>
    </row>
    <row r="565" customFormat="false" ht="14.25" hidden="false" customHeight="true" outlineLevel="0" collapsed="false">
      <c r="A565" s="15" t="n">
        <v>564</v>
      </c>
      <c r="B565" s="18" t="n">
        <v>46209</v>
      </c>
      <c r="C565" s="16" t="s">
        <v>199</v>
      </c>
      <c r="D565" s="16" t="s">
        <v>102</v>
      </c>
      <c r="E565" s="16" t="n">
        <v>257</v>
      </c>
      <c r="F565" s="16" t="s">
        <v>206</v>
      </c>
      <c r="G565" s="16" t="s">
        <v>91</v>
      </c>
      <c r="H565" s="16" t="n">
        <v>4</v>
      </c>
      <c r="I565" s="19" t="n">
        <f aca="false">IFERROR(IF(D565="Sale",H565*VLOOKUP(G565,Product_Master!$A:$F,6,FALSE()),IF(D565="Purchase",H565*VLOOKUP(G565,Product_Master!$A:$F,5,FALSE()),0)),0)</f>
        <v>1080</v>
      </c>
    </row>
    <row r="566" customFormat="false" ht="14.25" hidden="false" customHeight="true" outlineLevel="0" collapsed="false">
      <c r="A566" s="15" t="n">
        <v>565</v>
      </c>
      <c r="B566" s="18" t="n">
        <v>46210</v>
      </c>
      <c r="C566" s="16" t="s">
        <v>199</v>
      </c>
      <c r="D566" s="16" t="s">
        <v>102</v>
      </c>
      <c r="E566" s="16" t="n">
        <v>258</v>
      </c>
      <c r="F566" s="16" t="s">
        <v>152</v>
      </c>
      <c r="G566" s="16" t="s">
        <v>53</v>
      </c>
      <c r="H566" s="16" t="n">
        <v>125</v>
      </c>
      <c r="I566" s="19" t="n">
        <f aca="false">IFERROR(IF(D566="Sale",H566*VLOOKUP(G566,Product_Master!$A:$F,6,FALSE()),IF(D566="Purchase",H566*VLOOKUP(G566,Product_Master!$A:$F,5,FALSE()),0)),0)</f>
        <v>10625</v>
      </c>
    </row>
    <row r="567" customFormat="false" ht="14.25" hidden="false" customHeight="true" outlineLevel="0" collapsed="false">
      <c r="A567" s="15" t="n">
        <v>566</v>
      </c>
      <c r="B567" s="18" t="n">
        <v>46210</v>
      </c>
      <c r="C567" s="16" t="s">
        <v>199</v>
      </c>
      <c r="D567" s="16" t="s">
        <v>102</v>
      </c>
      <c r="E567" s="16" t="n">
        <v>259</v>
      </c>
      <c r="F567" s="16" t="s">
        <v>145</v>
      </c>
      <c r="G567" s="16" t="s">
        <v>39</v>
      </c>
      <c r="H567" s="16" t="n">
        <v>240</v>
      </c>
      <c r="I567" s="19" t="n">
        <f aca="false">IFERROR(IF(D567="Sale",H567*VLOOKUP(G567,Product_Master!$A:$F,6,FALSE()),IF(D567="Purchase",H567*VLOOKUP(G567,Product_Master!$A:$F,5,FALSE()),0)),0)</f>
        <v>25440</v>
      </c>
    </row>
    <row r="568" customFormat="false" ht="14.25" hidden="false" customHeight="true" outlineLevel="0" collapsed="false">
      <c r="A568" s="15" t="n">
        <v>567</v>
      </c>
      <c r="B568" s="18" t="n">
        <v>46210</v>
      </c>
      <c r="C568" s="16" t="s">
        <v>199</v>
      </c>
      <c r="D568" s="16" t="s">
        <v>102</v>
      </c>
      <c r="E568" s="16" t="n">
        <v>259</v>
      </c>
      <c r="F568" s="16" t="s">
        <v>145</v>
      </c>
      <c r="G568" s="16" t="s">
        <v>41</v>
      </c>
      <c r="H568" s="16" t="n">
        <v>240</v>
      </c>
      <c r="I568" s="19" t="n">
        <f aca="false">IFERROR(IF(D568="Sale",H568*VLOOKUP(G568,Product_Master!$A:$F,6,FALSE()),IF(D568="Purchase",H568*VLOOKUP(G568,Product_Master!$A:$F,5,FALSE()),0)),0)</f>
        <v>26640</v>
      </c>
    </row>
    <row r="569" customFormat="false" ht="14.25" hidden="false" customHeight="true" outlineLevel="0" collapsed="false">
      <c r="A569" s="15" t="n">
        <v>568</v>
      </c>
      <c r="B569" s="18" t="n">
        <v>46210</v>
      </c>
      <c r="C569" s="16" t="s">
        <v>199</v>
      </c>
      <c r="D569" s="16" t="s">
        <v>102</v>
      </c>
      <c r="E569" s="16" t="n">
        <v>259</v>
      </c>
      <c r="F569" s="16" t="s">
        <v>145</v>
      </c>
      <c r="G569" s="16" t="s">
        <v>42</v>
      </c>
      <c r="H569" s="16" t="n">
        <v>240</v>
      </c>
      <c r="I569" s="19" t="n">
        <f aca="false">IFERROR(IF(D569="Sale",H569*VLOOKUP(G569,Product_Master!$A:$F,6,FALSE()),IF(D569="Purchase",H569*VLOOKUP(G569,Product_Master!$A:$F,5,FALSE()),0)),0)</f>
        <v>26880</v>
      </c>
    </row>
    <row r="570" customFormat="false" ht="14.25" hidden="false" customHeight="true" outlineLevel="0" collapsed="false">
      <c r="A570" s="15" t="n">
        <v>569</v>
      </c>
      <c r="B570" s="18" t="n">
        <v>46210</v>
      </c>
      <c r="C570" s="16" t="s">
        <v>199</v>
      </c>
      <c r="D570" s="16" t="s">
        <v>102</v>
      </c>
      <c r="E570" s="16" t="n">
        <v>259</v>
      </c>
      <c r="F570" s="16" t="s">
        <v>145</v>
      </c>
      <c r="G570" s="16" t="s">
        <v>43</v>
      </c>
      <c r="H570" s="16" t="n">
        <v>360</v>
      </c>
      <c r="I570" s="19" t="n">
        <f aca="false">IFERROR(IF(D570="Sale",H570*VLOOKUP(G570,Product_Master!$A:$F,6,FALSE()),IF(D570="Purchase",H570*VLOOKUP(G570,Product_Master!$A:$F,5,FALSE()),0)),0)</f>
        <v>57600</v>
      </c>
    </row>
    <row r="571" customFormat="false" ht="14.25" hidden="false" customHeight="true" outlineLevel="0" collapsed="false">
      <c r="A571" s="15" t="n">
        <v>570</v>
      </c>
      <c r="B571" s="18" t="n">
        <v>46210</v>
      </c>
      <c r="C571" s="16" t="s">
        <v>199</v>
      </c>
      <c r="D571" s="16" t="s">
        <v>102</v>
      </c>
      <c r="E571" s="16" t="n">
        <v>259</v>
      </c>
      <c r="F571" s="16" t="s">
        <v>145</v>
      </c>
      <c r="G571" s="16" t="s">
        <v>59</v>
      </c>
      <c r="H571" s="16" t="n">
        <v>125</v>
      </c>
      <c r="I571" s="19" t="n">
        <f aca="false">IFERROR(IF(D571="Sale",H571*VLOOKUP(G571,Product_Master!$A:$F,6,FALSE()),IF(D571="Purchase",H571*VLOOKUP(G571,Product_Master!$A:$F,5,FALSE()),0)),0)</f>
        <v>18500</v>
      </c>
    </row>
    <row r="572" customFormat="false" ht="14.25" hidden="false" customHeight="true" outlineLevel="0" collapsed="false">
      <c r="A572" s="15" t="n">
        <v>571</v>
      </c>
      <c r="B572" s="18" t="n">
        <v>46210</v>
      </c>
      <c r="C572" s="16" t="s">
        <v>199</v>
      </c>
      <c r="D572" s="16" t="s">
        <v>102</v>
      </c>
      <c r="E572" s="16" t="n">
        <v>259</v>
      </c>
      <c r="F572" s="16" t="s">
        <v>145</v>
      </c>
      <c r="G572" s="16" t="s">
        <v>67</v>
      </c>
      <c r="H572" s="16" t="n">
        <v>25</v>
      </c>
      <c r="I572" s="19" t="n">
        <f aca="false">IFERROR(IF(D572="Sale",H572*VLOOKUP(G572,Product_Master!$A:$F,6,FALSE()),IF(D572="Purchase",H572*VLOOKUP(G572,Product_Master!$A:$F,5,FALSE()),0)),0)</f>
        <v>8250</v>
      </c>
    </row>
    <row r="573" customFormat="false" ht="14.25" hidden="false" customHeight="true" outlineLevel="0" collapsed="false">
      <c r="A573" s="15" t="n">
        <v>572</v>
      </c>
      <c r="B573" s="18" t="n">
        <v>46210</v>
      </c>
      <c r="C573" s="16" t="s">
        <v>199</v>
      </c>
      <c r="D573" s="16" t="s">
        <v>102</v>
      </c>
      <c r="E573" s="16" t="n">
        <v>259</v>
      </c>
      <c r="F573" s="16" t="s">
        <v>145</v>
      </c>
      <c r="G573" s="16" t="s">
        <v>73</v>
      </c>
      <c r="H573" s="16" t="n">
        <v>150</v>
      </c>
      <c r="I573" s="19" t="n">
        <f aca="false">IFERROR(IF(D573="Sale",H573*VLOOKUP(G573,Product_Master!$A:$F,6,FALSE()),IF(D573="Purchase",H573*VLOOKUP(G573,Product_Master!$A:$F,5,FALSE()),0)),0)</f>
        <v>21000</v>
      </c>
    </row>
    <row r="574" customFormat="false" ht="14.25" hidden="false" customHeight="true" outlineLevel="0" collapsed="false">
      <c r="A574" s="15" t="n">
        <v>573</v>
      </c>
      <c r="B574" s="18" t="n">
        <v>46210</v>
      </c>
      <c r="C574" s="16" t="s">
        <v>199</v>
      </c>
      <c r="D574" s="16" t="s">
        <v>102</v>
      </c>
      <c r="E574" s="16" t="n">
        <v>259</v>
      </c>
      <c r="F574" s="16" t="s">
        <v>145</v>
      </c>
      <c r="G574" s="16" t="s">
        <v>76</v>
      </c>
      <c r="H574" s="16" t="n">
        <v>100</v>
      </c>
      <c r="I574" s="19" t="n">
        <f aca="false">IFERROR(IF(D574="Sale",H574*VLOOKUP(G574,Product_Master!$A:$F,6,FALSE()),IF(D574="Purchase",H574*VLOOKUP(G574,Product_Master!$A:$F,5,FALSE()),0)),0)</f>
        <v>19600</v>
      </c>
    </row>
    <row r="575" customFormat="false" ht="14.25" hidden="false" customHeight="true" outlineLevel="0" collapsed="false">
      <c r="A575" s="15" t="n">
        <v>574</v>
      </c>
      <c r="B575" s="18" t="n">
        <v>46210</v>
      </c>
      <c r="C575" s="16" t="s">
        <v>199</v>
      </c>
      <c r="D575" s="16" t="s">
        <v>102</v>
      </c>
      <c r="E575" s="16" t="n">
        <v>259</v>
      </c>
      <c r="F575" s="16" t="s">
        <v>145</v>
      </c>
      <c r="G575" s="16" t="s">
        <v>91</v>
      </c>
      <c r="H575" s="16" t="n">
        <v>440</v>
      </c>
      <c r="I575" s="19" t="n">
        <f aca="false">IFERROR(IF(D575="Sale",H575*VLOOKUP(G575,Product_Master!$A:$F,6,FALSE()),IF(D575="Purchase",H575*VLOOKUP(G575,Product_Master!$A:$F,5,FALSE()),0)),0)</f>
        <v>118800</v>
      </c>
    </row>
    <row r="576" customFormat="false" ht="14.25" hidden="false" customHeight="true" outlineLevel="0" collapsed="false">
      <c r="A576" s="15" t="n">
        <v>575</v>
      </c>
      <c r="B576" s="18" t="n">
        <v>46210</v>
      </c>
      <c r="C576" s="16" t="s">
        <v>199</v>
      </c>
      <c r="D576" s="16" t="s">
        <v>102</v>
      </c>
      <c r="E576" s="16" t="n">
        <v>260</v>
      </c>
      <c r="F576" s="16" t="s">
        <v>158</v>
      </c>
      <c r="G576" s="16" t="s">
        <v>60</v>
      </c>
      <c r="H576" s="16" t="n">
        <v>120</v>
      </c>
      <c r="I576" s="19" t="n">
        <f aca="false">IFERROR(IF(D576="Sale",H576*VLOOKUP(G576,Product_Master!$A:$F,6,FALSE()),IF(D576="Purchase",H576*VLOOKUP(G576,Product_Master!$A:$F,5,FALSE()),0)),0)</f>
        <v>23760</v>
      </c>
    </row>
    <row r="577" customFormat="false" ht="14.25" hidden="false" customHeight="true" outlineLevel="0" collapsed="false">
      <c r="A577" s="15" t="n">
        <v>576</v>
      </c>
      <c r="B577" s="18" t="n">
        <v>46210</v>
      </c>
      <c r="C577" s="16" t="s">
        <v>199</v>
      </c>
      <c r="D577" s="16" t="s">
        <v>102</v>
      </c>
      <c r="E577" s="16" t="n">
        <v>261</v>
      </c>
      <c r="F577" s="16" t="s">
        <v>163</v>
      </c>
      <c r="G577" s="16" t="s">
        <v>40</v>
      </c>
      <c r="H577" s="16" t="n">
        <v>120</v>
      </c>
      <c r="I577" s="19" t="n">
        <f aca="false">IFERROR(IF(D577="Sale",H577*VLOOKUP(G577,Product_Master!$A:$F,6,FALSE()),IF(D577="Purchase",H577*VLOOKUP(G577,Product_Master!$A:$F,5,FALSE()),0)),0)</f>
        <v>12240</v>
      </c>
    </row>
    <row r="578" customFormat="false" ht="14.25" hidden="false" customHeight="true" outlineLevel="0" collapsed="false">
      <c r="A578" s="15" t="n">
        <v>577</v>
      </c>
      <c r="B578" s="18" t="n">
        <v>46211</v>
      </c>
      <c r="C578" s="16" t="s">
        <v>199</v>
      </c>
      <c r="D578" s="16" t="s">
        <v>102</v>
      </c>
      <c r="E578" s="16" t="n">
        <v>262</v>
      </c>
      <c r="F578" s="16" t="s">
        <v>145</v>
      </c>
      <c r="G578" s="16" t="s">
        <v>38</v>
      </c>
      <c r="H578" s="16" t="n">
        <v>110</v>
      </c>
      <c r="I578" s="19" t="n">
        <f aca="false">IFERROR(IF(D578="Sale",H578*VLOOKUP(G578,Product_Master!$A:$F,6,FALSE()),IF(D578="Purchase",H578*VLOOKUP(G578,Product_Master!$A:$F,5,FALSE()),0)),0)</f>
        <v>10230</v>
      </c>
    </row>
    <row r="579" customFormat="false" ht="14.25" hidden="false" customHeight="true" outlineLevel="0" collapsed="false">
      <c r="A579" s="15" t="n">
        <v>578</v>
      </c>
      <c r="B579" s="18" t="n">
        <v>46211</v>
      </c>
      <c r="C579" s="16" t="s">
        <v>199</v>
      </c>
      <c r="D579" s="16" t="s">
        <v>102</v>
      </c>
      <c r="E579" s="16" t="n">
        <v>262</v>
      </c>
      <c r="F579" s="16" t="s">
        <v>145</v>
      </c>
      <c r="G579" s="16" t="s">
        <v>49</v>
      </c>
      <c r="H579" s="16" t="n">
        <v>300</v>
      </c>
      <c r="I579" s="19" t="n">
        <f aca="false">IFERROR(IF(D579="Sale",H579*VLOOKUP(G579,Product_Master!$A:$F,6,FALSE()),IF(D579="Purchase",H579*VLOOKUP(G579,Product_Master!$A:$F,5,FALSE()),0)),0)</f>
        <v>36600</v>
      </c>
    </row>
    <row r="580" customFormat="false" ht="14.25" hidden="false" customHeight="true" outlineLevel="0" collapsed="false">
      <c r="A580" s="15" t="n">
        <v>579</v>
      </c>
      <c r="B580" s="18" t="n">
        <v>46211</v>
      </c>
      <c r="C580" s="16" t="s">
        <v>199</v>
      </c>
      <c r="D580" s="16" t="s">
        <v>102</v>
      </c>
      <c r="E580" s="16" t="n">
        <v>263</v>
      </c>
      <c r="F580" s="16" t="s">
        <v>122</v>
      </c>
      <c r="G580" s="16" t="s">
        <v>60</v>
      </c>
      <c r="H580" s="16" t="n">
        <v>120</v>
      </c>
      <c r="I580" s="19" t="n">
        <f aca="false">IFERROR(IF(D580="Sale",H580*VLOOKUP(G580,Product_Master!$A:$F,6,FALSE()),IF(D580="Purchase",H580*VLOOKUP(G580,Product_Master!$A:$F,5,FALSE()),0)),0)</f>
        <v>23760</v>
      </c>
    </row>
    <row r="581" customFormat="false" ht="14.25" hidden="false" customHeight="true" outlineLevel="0" collapsed="false">
      <c r="A581" s="15" t="n">
        <v>580</v>
      </c>
      <c r="B581" s="18" t="n">
        <v>46212</v>
      </c>
      <c r="C581" s="16" t="s">
        <v>199</v>
      </c>
      <c r="D581" s="16" t="s">
        <v>102</v>
      </c>
      <c r="E581" s="16" t="n">
        <v>268</v>
      </c>
      <c r="F581" s="16" t="s">
        <v>207</v>
      </c>
      <c r="G581" s="16" t="s">
        <v>45</v>
      </c>
      <c r="H581" s="16" t="n">
        <v>300</v>
      </c>
      <c r="I581" s="19" t="n">
        <f aca="false">IFERROR(IF(D581="Sale",H581*VLOOKUP(G581,Product_Master!$A:$F,6,FALSE()),IF(D581="Purchase",H581*VLOOKUP(G581,Product_Master!$A:$F,5,FALSE()),0)),0)</f>
        <v>55500</v>
      </c>
    </row>
    <row r="582" customFormat="false" ht="14.25" hidden="false" customHeight="true" outlineLevel="0" collapsed="false">
      <c r="A582" s="15" t="n">
        <v>581</v>
      </c>
      <c r="B582" s="18" t="n">
        <v>46212</v>
      </c>
      <c r="C582" s="16" t="s">
        <v>199</v>
      </c>
      <c r="D582" s="16" t="s">
        <v>102</v>
      </c>
      <c r="E582" s="16" t="n">
        <v>264</v>
      </c>
      <c r="F582" s="16" t="s">
        <v>208</v>
      </c>
      <c r="G582" s="16" t="s">
        <v>40</v>
      </c>
      <c r="H582" s="16" t="n">
        <v>120</v>
      </c>
      <c r="I582" s="19" t="n">
        <f aca="false">IFERROR(IF(D582="Sale",H582*VLOOKUP(G582,Product_Master!$A:$F,6,FALSE()),IF(D582="Purchase",H582*VLOOKUP(G582,Product_Master!$A:$F,5,FALSE()),0)),0)</f>
        <v>12240</v>
      </c>
    </row>
    <row r="583" customFormat="false" ht="14.25" hidden="false" customHeight="true" outlineLevel="0" collapsed="false">
      <c r="A583" s="15" t="n">
        <v>582</v>
      </c>
      <c r="B583" s="18" t="n">
        <v>46212</v>
      </c>
      <c r="C583" s="16" t="s">
        <v>199</v>
      </c>
      <c r="D583" s="16" t="s">
        <v>102</v>
      </c>
      <c r="E583" s="16" t="n">
        <v>264</v>
      </c>
      <c r="F583" s="16" t="s">
        <v>208</v>
      </c>
      <c r="G583" s="16" t="s">
        <v>41</v>
      </c>
      <c r="H583" s="16" t="n">
        <v>120</v>
      </c>
      <c r="I583" s="19" t="n">
        <f aca="false">IFERROR(IF(D583="Sale",H583*VLOOKUP(G583,Product_Master!$A:$F,6,FALSE()),IF(D583="Purchase",H583*VLOOKUP(G583,Product_Master!$A:$F,5,FALSE()),0)),0)</f>
        <v>13320</v>
      </c>
    </row>
    <row r="584" customFormat="false" ht="14.25" hidden="true" customHeight="true" outlineLevel="0" collapsed="false">
      <c r="A584" s="15" t="n">
        <v>583</v>
      </c>
      <c r="B584" s="18" t="n">
        <v>46218</v>
      </c>
      <c r="C584" s="16" t="s">
        <v>199</v>
      </c>
      <c r="D584" s="16" t="s">
        <v>111</v>
      </c>
      <c r="E584" s="16"/>
      <c r="F584" s="16" t="s">
        <v>209</v>
      </c>
      <c r="G584" s="16" t="s">
        <v>56</v>
      </c>
      <c r="H584" s="16" t="n">
        <v>2400</v>
      </c>
      <c r="I584" s="19" t="n">
        <f aca="false">IFERROR(IF(D584="Sale",H584*VLOOKUP(G584,Product_Master!$A:$F,6,FALSE()),IF(D584="Purchase",H584*VLOOKUP(G584,Product_Master!$A:$F,5,FALSE()),0)),0)</f>
        <v>206400</v>
      </c>
    </row>
    <row r="585" customFormat="false" ht="14.25" hidden="true" customHeight="true" outlineLevel="0" collapsed="false">
      <c r="A585" s="15" t="n">
        <v>584</v>
      </c>
      <c r="B585" s="18" t="n">
        <v>46218</v>
      </c>
      <c r="C585" s="16" t="s">
        <v>199</v>
      </c>
      <c r="D585" s="16" t="s">
        <v>111</v>
      </c>
      <c r="E585" s="16"/>
      <c r="F585" s="16" t="s">
        <v>209</v>
      </c>
      <c r="G585" s="16" t="s">
        <v>58</v>
      </c>
      <c r="H585" s="16" t="n">
        <v>3000</v>
      </c>
      <c r="I585" s="19" t="n">
        <f aca="false">IFERROR(IF(D585="Sale",H585*VLOOKUP(G585,Product_Master!$A:$F,6,FALSE()),IF(D585="Purchase",H585*VLOOKUP(G585,Product_Master!$A:$F,5,FALSE()),0)),0)</f>
        <v>630000</v>
      </c>
    </row>
    <row r="586" customFormat="false" ht="14.25" hidden="true" customHeight="true" outlineLevel="0" collapsed="false">
      <c r="A586" s="15" t="n">
        <v>585</v>
      </c>
      <c r="B586" s="18" t="n">
        <v>46218</v>
      </c>
      <c r="C586" s="16" t="s">
        <v>199</v>
      </c>
      <c r="D586" s="16" t="s">
        <v>111</v>
      </c>
      <c r="E586" s="16"/>
      <c r="F586" s="16" t="s">
        <v>209</v>
      </c>
      <c r="G586" s="16" t="s">
        <v>60</v>
      </c>
      <c r="H586" s="16" t="n">
        <v>2400</v>
      </c>
      <c r="I586" s="19" t="n">
        <f aca="false">IFERROR(IF(D586="Sale",H586*VLOOKUP(G586,Product_Master!$A:$F,6,FALSE()),IF(D586="Purchase",H586*VLOOKUP(G586,Product_Master!$A:$F,5,FALSE()),0)),0)</f>
        <v>422400</v>
      </c>
    </row>
    <row r="587" customFormat="false" ht="14.25" hidden="true" customHeight="true" outlineLevel="0" collapsed="false">
      <c r="A587" s="15" t="n">
        <v>586</v>
      </c>
      <c r="B587" s="18" t="n">
        <v>46218</v>
      </c>
      <c r="C587" s="16" t="s">
        <v>199</v>
      </c>
      <c r="D587" s="16" t="s">
        <v>111</v>
      </c>
      <c r="E587" s="16"/>
      <c r="F587" s="16" t="s">
        <v>209</v>
      </c>
      <c r="G587" s="16" t="s">
        <v>61</v>
      </c>
      <c r="H587" s="16" t="n">
        <v>300</v>
      </c>
      <c r="I587" s="19" t="n">
        <f aca="false">IFERROR(IF(D587="Sale",H587*VLOOKUP(G587,Product_Master!$A:$F,6,FALSE()),IF(D587="Purchase",H587*VLOOKUP(G587,Product_Master!$A:$F,5,FALSE()),0)),0)</f>
        <v>44700</v>
      </c>
    </row>
    <row r="588" customFormat="false" ht="14.25" hidden="true" customHeight="true" outlineLevel="0" collapsed="false">
      <c r="A588" s="15" t="n">
        <v>587</v>
      </c>
      <c r="B588" s="18" t="n">
        <v>46218</v>
      </c>
      <c r="C588" s="16" t="s">
        <v>199</v>
      </c>
      <c r="D588" s="16" t="s">
        <v>111</v>
      </c>
      <c r="E588" s="16"/>
      <c r="F588" s="16" t="s">
        <v>209</v>
      </c>
      <c r="G588" s="16" t="s">
        <v>68</v>
      </c>
      <c r="H588" s="16" t="n">
        <v>1000</v>
      </c>
      <c r="I588" s="19" t="n">
        <f aca="false">IFERROR(IF(D588="Sale",H588*VLOOKUP(G588,Product_Master!$A:$F,6,FALSE()),IF(D588="Purchase",H588*VLOOKUP(G588,Product_Master!$A:$F,5,FALSE()),0)),0)</f>
        <v>100000</v>
      </c>
    </row>
    <row r="589" customFormat="false" ht="14.25" hidden="false" customHeight="true" outlineLevel="0" collapsed="false">
      <c r="A589" s="15" t="n">
        <v>588</v>
      </c>
      <c r="B589" s="18" t="n">
        <v>46212</v>
      </c>
      <c r="C589" s="16" t="s">
        <v>199</v>
      </c>
      <c r="D589" s="16" t="s">
        <v>102</v>
      </c>
      <c r="E589" s="16" t="n">
        <v>264</v>
      </c>
      <c r="F589" s="16" t="s">
        <v>208</v>
      </c>
      <c r="G589" s="16" t="s">
        <v>80</v>
      </c>
      <c r="H589" s="16" t="n">
        <v>120</v>
      </c>
      <c r="I589" s="19" t="n">
        <f aca="false">IFERROR(IF(D589="Sale",H589*VLOOKUP(G589,Product_Master!$A:$F,6,FALSE()),IF(D589="Purchase",H589*VLOOKUP(G589,Product_Master!$A:$F,5,FALSE()),0)),0)</f>
        <v>26520</v>
      </c>
    </row>
    <row r="590" customFormat="false" ht="14.25" hidden="false" customHeight="true" outlineLevel="0" collapsed="false">
      <c r="A590" s="15" t="n">
        <v>589</v>
      </c>
      <c r="B590" s="18" t="n">
        <v>46212</v>
      </c>
      <c r="C590" s="16" t="s">
        <v>199</v>
      </c>
      <c r="D590" s="16" t="s">
        <v>102</v>
      </c>
      <c r="E590" s="16" t="n">
        <v>265</v>
      </c>
      <c r="F590" s="16" t="s">
        <v>127</v>
      </c>
      <c r="G590" s="16" t="s">
        <v>50</v>
      </c>
      <c r="H590" s="16" t="n">
        <v>75</v>
      </c>
      <c r="I590" s="19" t="n">
        <f aca="false">IFERROR(IF(D590="Sale",H590*VLOOKUP(G590,Product_Master!$A:$F,6,FALSE()),IF(D590="Purchase",H590*VLOOKUP(G590,Product_Master!$A:$F,5,FALSE()),0)),0)</f>
        <v>16875</v>
      </c>
    </row>
    <row r="591" customFormat="false" ht="14.25" hidden="false" customHeight="true" outlineLevel="0" collapsed="false">
      <c r="A591" s="15" t="n">
        <v>590</v>
      </c>
      <c r="B591" s="18" t="n">
        <v>46212</v>
      </c>
      <c r="C591" s="16" t="s">
        <v>199</v>
      </c>
      <c r="D591" s="16" t="s">
        <v>102</v>
      </c>
      <c r="E591" s="16" t="n">
        <v>266</v>
      </c>
      <c r="F591" s="16" t="s">
        <v>201</v>
      </c>
      <c r="G591" s="16" t="s">
        <v>41</v>
      </c>
      <c r="H591" s="16" t="n">
        <v>240</v>
      </c>
      <c r="I591" s="19" t="n">
        <f aca="false">IFERROR(IF(D591="Sale",H591*VLOOKUP(G591,Product_Master!$A:$F,6,FALSE()),IF(D591="Purchase",H591*VLOOKUP(G591,Product_Master!$A:$F,5,FALSE()),0)),0)</f>
        <v>26640</v>
      </c>
    </row>
    <row r="592" customFormat="false" ht="14.25" hidden="false" customHeight="true" outlineLevel="0" collapsed="false">
      <c r="A592" s="15" t="n">
        <v>591</v>
      </c>
      <c r="B592" s="18" t="n">
        <v>46212</v>
      </c>
      <c r="C592" s="16" t="s">
        <v>199</v>
      </c>
      <c r="D592" s="16" t="s">
        <v>102</v>
      </c>
      <c r="E592" s="16" t="n">
        <v>267</v>
      </c>
      <c r="F592" s="16" t="s">
        <v>121</v>
      </c>
      <c r="G592" s="16" t="s">
        <v>41</v>
      </c>
      <c r="H592" s="16" t="n">
        <v>120</v>
      </c>
      <c r="I592" s="19" t="n">
        <f aca="false">IFERROR(IF(D592="Sale",H592*VLOOKUP(G592,Product_Master!$A:$F,6,FALSE()),IF(D592="Purchase",H592*VLOOKUP(G592,Product_Master!$A:$F,5,FALSE()),0)),0)</f>
        <v>13320</v>
      </c>
    </row>
    <row r="593" customFormat="false" ht="14.25" hidden="false" customHeight="true" outlineLevel="0" collapsed="false">
      <c r="A593" s="15" t="n">
        <v>592</v>
      </c>
      <c r="B593" s="18" t="n">
        <v>46216</v>
      </c>
      <c r="C593" s="16" t="s">
        <v>199</v>
      </c>
      <c r="D593" s="16" t="s">
        <v>102</v>
      </c>
      <c r="E593" s="16" t="n">
        <v>269</v>
      </c>
      <c r="F593" s="16" t="s">
        <v>210</v>
      </c>
      <c r="G593" s="16" t="s">
        <v>41</v>
      </c>
      <c r="H593" s="16" t="n">
        <v>240</v>
      </c>
      <c r="I593" s="19" t="n">
        <f aca="false">IFERROR(IF(D593="Sale",H593*VLOOKUP(G593,Product_Master!$A:$F,6,FALSE()),IF(D593="Purchase",H593*VLOOKUP(G593,Product_Master!$A:$F,5,FALSE()),0)),0)</f>
        <v>26640</v>
      </c>
    </row>
    <row r="594" customFormat="false" ht="14.25" hidden="false" customHeight="true" outlineLevel="0" collapsed="false">
      <c r="A594" s="15" t="n">
        <v>593</v>
      </c>
      <c r="B594" s="18" t="n">
        <v>46216</v>
      </c>
      <c r="C594" s="16" t="s">
        <v>199</v>
      </c>
      <c r="D594" s="16" t="s">
        <v>102</v>
      </c>
      <c r="E594" s="16" t="n">
        <v>270</v>
      </c>
      <c r="F594" s="16" t="s">
        <v>211</v>
      </c>
      <c r="G594" s="16" t="s">
        <v>43</v>
      </c>
      <c r="H594" s="16" t="n">
        <v>120</v>
      </c>
      <c r="I594" s="19" t="n">
        <f aca="false">IFERROR(IF(D594="Sale",H594*VLOOKUP(G594,Product_Master!$A:$F,6,FALSE()),IF(D594="Purchase",H594*VLOOKUP(G594,Product_Master!$A:$F,5,FALSE()),0)),0)</f>
        <v>19200</v>
      </c>
    </row>
    <row r="595" customFormat="false" ht="14.25" hidden="false" customHeight="true" outlineLevel="0" collapsed="false">
      <c r="A595" s="15" t="n">
        <v>594</v>
      </c>
      <c r="B595" s="18" t="n">
        <v>46218</v>
      </c>
      <c r="C595" s="16" t="s">
        <v>199</v>
      </c>
      <c r="D595" s="16" t="s">
        <v>102</v>
      </c>
      <c r="E595" s="16" t="n">
        <v>271</v>
      </c>
      <c r="F595" s="16" t="s">
        <v>136</v>
      </c>
      <c r="G595" s="16" t="s">
        <v>56</v>
      </c>
      <c r="H595" s="16" t="n">
        <v>720</v>
      </c>
      <c r="I595" s="19" t="n">
        <f aca="false">IFERROR(IF(D595="Sale",H595*VLOOKUP(G595,Product_Master!$A:$F,6,FALSE()),IF(D595="Purchase",H595*VLOOKUP(G595,Product_Master!$A:$F,5,FALSE()),0)),0)</f>
        <v>74160</v>
      </c>
    </row>
    <row r="596" customFormat="false" ht="14.25" hidden="false" customHeight="true" outlineLevel="0" collapsed="false">
      <c r="A596" s="15" t="n">
        <v>595</v>
      </c>
      <c r="B596" s="18" t="n">
        <v>46218</v>
      </c>
      <c r="C596" s="16" t="s">
        <v>199</v>
      </c>
      <c r="D596" s="16" t="s">
        <v>102</v>
      </c>
      <c r="E596" s="16" t="n">
        <v>272</v>
      </c>
      <c r="F596" s="16" t="s">
        <v>203</v>
      </c>
      <c r="G596" s="16" t="s">
        <v>56</v>
      </c>
      <c r="H596" s="16" t="n">
        <v>280</v>
      </c>
      <c r="I596" s="19" t="n">
        <f aca="false">IFERROR(IF(D596="Sale",H596*VLOOKUP(G596,Product_Master!$A:$F,6,FALSE()),IF(D596="Purchase",H596*VLOOKUP(G596,Product_Master!$A:$F,5,FALSE()),0)),0)</f>
        <v>28840</v>
      </c>
    </row>
    <row r="597" customFormat="false" ht="14.25" hidden="false" customHeight="true" outlineLevel="0" collapsed="false">
      <c r="A597" s="15" t="n">
        <v>596</v>
      </c>
      <c r="B597" s="18" t="n">
        <v>46218</v>
      </c>
      <c r="C597" s="16" t="s">
        <v>199</v>
      </c>
      <c r="D597" s="16" t="s">
        <v>102</v>
      </c>
      <c r="E597" s="16" t="n">
        <v>273</v>
      </c>
      <c r="F597" s="16" t="s">
        <v>200</v>
      </c>
      <c r="G597" s="16" t="s">
        <v>58</v>
      </c>
      <c r="H597" s="16" t="n">
        <v>250</v>
      </c>
      <c r="I597" s="19" t="n">
        <f aca="false">IFERROR(IF(D597="Sale",H597*VLOOKUP(G597,Product_Master!$A:$F,6,FALSE()),IF(D597="Purchase",H597*VLOOKUP(G597,Product_Master!$A:$F,5,FALSE()),0)),0)</f>
        <v>50750</v>
      </c>
    </row>
    <row r="598" customFormat="false" ht="14.25" hidden="false" customHeight="true" outlineLevel="0" collapsed="false">
      <c r="A598" s="15" t="n">
        <v>597</v>
      </c>
      <c r="B598" s="18" t="n">
        <v>46218</v>
      </c>
      <c r="C598" s="16" t="s">
        <v>199</v>
      </c>
      <c r="D598" s="16" t="s">
        <v>102</v>
      </c>
      <c r="E598" s="16" t="n">
        <v>274</v>
      </c>
      <c r="F598" s="16" t="s">
        <v>142</v>
      </c>
      <c r="G598" s="16" t="s">
        <v>41</v>
      </c>
      <c r="H598" s="16" t="n">
        <v>120</v>
      </c>
      <c r="I598" s="19" t="n">
        <f aca="false">IFERROR(IF(D598="Sale",H598*VLOOKUP(G598,Product_Master!$A:$F,6,FALSE()),IF(D598="Purchase",H598*VLOOKUP(G598,Product_Master!$A:$F,5,FALSE()),0)),0)</f>
        <v>13320</v>
      </c>
    </row>
    <row r="599" customFormat="false" ht="14.25" hidden="false" customHeight="true" outlineLevel="0" collapsed="false">
      <c r="A599" s="15" t="n">
        <v>598</v>
      </c>
      <c r="B599" s="18" t="n">
        <v>46218</v>
      </c>
      <c r="C599" s="16" t="s">
        <v>199</v>
      </c>
      <c r="D599" s="16" t="s">
        <v>102</v>
      </c>
      <c r="E599" s="16" t="n">
        <v>274</v>
      </c>
      <c r="F599" s="16" t="s">
        <v>142</v>
      </c>
      <c r="G599" s="16" t="s">
        <v>42</v>
      </c>
      <c r="H599" s="16" t="n">
        <v>120</v>
      </c>
      <c r="I599" s="19" t="n">
        <f aca="false">IFERROR(IF(D599="Sale",H599*VLOOKUP(G599,Product_Master!$A:$F,6,FALSE()),IF(D599="Purchase",H599*VLOOKUP(G599,Product_Master!$A:$F,5,FALSE()),0)),0)</f>
        <v>13440</v>
      </c>
    </row>
    <row r="600" customFormat="false" ht="14.25" hidden="false" customHeight="true" outlineLevel="0" collapsed="false">
      <c r="A600" s="15" t="n">
        <v>599</v>
      </c>
      <c r="B600" s="18" t="n">
        <v>46218</v>
      </c>
      <c r="C600" s="16" t="s">
        <v>199</v>
      </c>
      <c r="D600" s="16" t="s">
        <v>102</v>
      </c>
      <c r="E600" s="16" t="n">
        <v>274</v>
      </c>
      <c r="F600" s="16" t="s">
        <v>142</v>
      </c>
      <c r="G600" s="16" t="s">
        <v>43</v>
      </c>
      <c r="H600" s="16" t="n">
        <v>120</v>
      </c>
      <c r="I600" s="19" t="n">
        <f aca="false">IFERROR(IF(D600="Sale",H600*VLOOKUP(G600,Product_Master!$A:$F,6,FALSE()),IF(D600="Purchase",H600*VLOOKUP(G600,Product_Master!$A:$F,5,FALSE()),0)),0)</f>
        <v>19200</v>
      </c>
    </row>
    <row r="601" customFormat="false" ht="14.25" hidden="false" customHeight="true" outlineLevel="0" collapsed="false">
      <c r="A601" s="15" t="n">
        <v>600</v>
      </c>
      <c r="B601" s="18" t="n">
        <v>46219</v>
      </c>
      <c r="C601" s="16" t="s">
        <v>199</v>
      </c>
      <c r="D601" s="16" t="s">
        <v>102</v>
      </c>
      <c r="E601" s="16" t="n">
        <v>275</v>
      </c>
      <c r="F601" s="16" t="s">
        <v>207</v>
      </c>
      <c r="G601" s="16" t="s">
        <v>45</v>
      </c>
      <c r="H601" s="16" t="n">
        <v>300</v>
      </c>
      <c r="I601" s="19" t="n">
        <f aca="false">IFERROR(IF(D601="Sale",H601*VLOOKUP(G601,Product_Master!$A:$F,6,FALSE()),IF(D601="Purchase",H601*VLOOKUP(G601,Product_Master!$A:$F,5,FALSE()),0)),0)</f>
        <v>55500</v>
      </c>
    </row>
    <row r="602" customFormat="false" ht="14.25" hidden="true" customHeight="true" outlineLevel="0" collapsed="false">
      <c r="A602" s="15" t="n">
        <v>601</v>
      </c>
      <c r="B602" s="18"/>
      <c r="C602" s="16" t="s">
        <v>199</v>
      </c>
      <c r="D602" s="16" t="s">
        <v>197</v>
      </c>
      <c r="E602" s="16"/>
      <c r="F602" s="16"/>
      <c r="G602" s="16" t="s">
        <v>56</v>
      </c>
      <c r="H602" s="16" t="n">
        <v>180</v>
      </c>
      <c r="I602" s="19" t="n">
        <f aca="false">IFERROR(IF(D602="Sale",H602*VLOOKUP(G602,Product_Master!$A:$F,6,FALSE()),IF(D602="Purchase",H602*VLOOKUP(G602,Product_Master!$A:$F,5,FALSE()),0)),0)</f>
        <v>0</v>
      </c>
    </row>
    <row r="603" customFormat="false" ht="14.25" hidden="false" customHeight="true" outlineLevel="0" collapsed="false">
      <c r="A603" s="15" t="n">
        <v>602</v>
      </c>
      <c r="B603" s="20" t="n">
        <v>46219</v>
      </c>
      <c r="C603" s="16" t="s">
        <v>199</v>
      </c>
      <c r="D603" s="1" t="s">
        <v>102</v>
      </c>
      <c r="E603" s="1" t="n">
        <v>276</v>
      </c>
      <c r="F603" s="16" t="s">
        <v>109</v>
      </c>
      <c r="G603" s="16" t="s">
        <v>45</v>
      </c>
      <c r="H603" s="1" t="n">
        <v>150</v>
      </c>
      <c r="I603" s="19" t="n">
        <f aca="false">IFERROR(IF(D603="Sale",H603*VLOOKUP(G603,Product_Master!$A:$F,6,FALSE()),IF(D603="Purchase",H603*VLOOKUP(G603,Product_Master!$A:$F,5,FALSE()),0)),0)</f>
        <v>27750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K60" activeCellId="0" sqref="K6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.44"/>
    <col collapsed="false" customWidth="true" hidden="false" outlineLevel="0" max="3" min="3" style="1" width="18.88"/>
    <col collapsed="false" customWidth="true" hidden="false" outlineLevel="0" max="4" min="4" style="1" width="16.77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21.22"/>
    <col collapsed="false" customWidth="true" hidden="false" outlineLevel="0" max="12" min="12" style="1" width="15"/>
    <col collapsed="false" customWidth="true" hidden="false" outlineLevel="0" max="13" min="13" style="1" width="14"/>
    <col collapsed="false" customWidth="true" hidden="false" outlineLevel="0" max="14" min="14" style="1" width="12"/>
  </cols>
  <sheetData>
    <row r="1" customFormat="false" ht="14.25" hidden="false" customHeight="true" outlineLevel="0" collapsed="false">
      <c r="A1" s="14" t="s">
        <v>32</v>
      </c>
      <c r="B1" s="14" t="s">
        <v>34</v>
      </c>
      <c r="C1" s="14" t="s">
        <v>212</v>
      </c>
      <c r="D1" s="14" t="s">
        <v>213</v>
      </c>
      <c r="E1" s="14" t="s">
        <v>214</v>
      </c>
      <c r="F1" s="14" t="s">
        <v>31</v>
      </c>
      <c r="G1" s="14" t="s">
        <v>215</v>
      </c>
      <c r="H1" s="14" t="s">
        <v>216</v>
      </c>
      <c r="I1" s="14" t="s">
        <v>36</v>
      </c>
      <c r="J1" s="14" t="s">
        <v>37</v>
      </c>
      <c r="K1" s="14" t="s">
        <v>217</v>
      </c>
      <c r="L1" s="14" t="s">
        <v>218</v>
      </c>
      <c r="M1" s="14" t="s">
        <v>30</v>
      </c>
      <c r="N1" s="14" t="s">
        <v>219</v>
      </c>
    </row>
    <row r="2" customFormat="false" ht="14.25" hidden="false" customHeight="true" outlineLevel="0" collapsed="false">
      <c r="A2" s="1" t="str">
        <f aca="false">Product_Master!A2</f>
        <v>KG</v>
      </c>
      <c r="B2" s="13" t="n">
        <f aca="false">Product_Master!C2</f>
        <v>1980</v>
      </c>
      <c r="C2" s="13" t="n">
        <f aca="false">SUMIFS(Transactions!$H$2:$H$603,Transactions!$G$2:$G$603,$A2,Transactions!$D$2:$D$603,"Purchase")</f>
        <v>5280</v>
      </c>
      <c r="D2" s="13" t="n">
        <f aca="false">SUMIFS(Transactions!$H$2:$H$603,Transactions!$G$2:$G$603,$A2,Transactions!$D$2:$D$603,"Sale")</f>
        <v>4130</v>
      </c>
      <c r="E2" s="13" t="n">
        <f aca="false">SUMIFS(Transactions!$H$2:$H$603,Transactions!$G$2:$G$603,$A2,Transactions!$D$2:$D$603,"Adjustment")</f>
        <v>110</v>
      </c>
      <c r="F2" s="13" t="n">
        <f aca="false">B2+C2-D2-E2</f>
        <v>3020</v>
      </c>
      <c r="G2" s="1" t="n">
        <f aca="false">Product_Master!D2</f>
        <v>110</v>
      </c>
      <c r="H2" s="21" t="n">
        <f aca="false">IF(G2&gt;0,F2/G2,0)</f>
        <v>27.4545454545455</v>
      </c>
      <c r="I2" s="1" t="n">
        <f aca="false">Product_Master!E2</f>
        <v>93</v>
      </c>
      <c r="J2" s="1" t="n">
        <f aca="false">Product_Master!F2</f>
        <v>93</v>
      </c>
      <c r="K2" s="13" t="n">
        <f aca="false">IFERROR(F2*I2,0)</f>
        <v>280860</v>
      </c>
      <c r="L2" s="13" t="n">
        <f aca="false">IFERROR(D2*J2,0)</f>
        <v>384090</v>
      </c>
      <c r="M2" s="1" t="n">
        <f aca="false">Product_Master!G2</f>
        <v>0</v>
      </c>
      <c r="N2" s="1" t="str">
        <f aca="false">IF(AND(M2&lt;&gt;"",F2&lt;M2),"LOW STOCK","OK")</f>
        <v>OK</v>
      </c>
    </row>
    <row r="3" customFormat="false" ht="14.25" hidden="false" customHeight="true" outlineLevel="0" collapsed="false">
      <c r="A3" s="1" t="str">
        <f aca="false">Product_Master!A3</f>
        <v>AA</v>
      </c>
      <c r="B3" s="13" t="n">
        <f aca="false">Product_Master!C3</f>
        <v>973</v>
      </c>
      <c r="C3" s="13" t="n">
        <f aca="false">SUMIFS(Transactions!$H$2:$H$603,Transactions!$G$2:$G$603,$A3,Transactions!$D$2:$D$603,"Purchase")</f>
        <v>4800</v>
      </c>
      <c r="D3" s="13" t="n">
        <f aca="false">SUMIFS(Transactions!$H$2:$H$603,Transactions!$G$2:$G$603,$A3,Transactions!$D$2:$D$603,"Sale")</f>
        <v>2420</v>
      </c>
      <c r="E3" s="13" t="n">
        <f aca="false">SUMIFS(Transactions!$H$2:$H$603,Transactions!$G$2:$G$603,$A3,Transactions!$D$2:$D$603,"Adjustment")</f>
        <v>120</v>
      </c>
      <c r="F3" s="13" t="n">
        <f aca="false">B3+C3-D3-E3</f>
        <v>3233</v>
      </c>
      <c r="G3" s="1" t="n">
        <f aca="false">Product_Master!D3</f>
        <v>120</v>
      </c>
      <c r="H3" s="21" t="n">
        <f aca="false">IF(G3&gt;0,F3/G3,0)</f>
        <v>26.9416666666667</v>
      </c>
      <c r="I3" s="1" t="n">
        <f aca="false">Product_Master!E3</f>
        <v>96</v>
      </c>
      <c r="J3" s="1" t="n">
        <f aca="false">Product_Master!F3</f>
        <v>106</v>
      </c>
      <c r="K3" s="13" t="n">
        <f aca="false">IFERROR(F3*I3,0)</f>
        <v>310368</v>
      </c>
      <c r="L3" s="13" t="n">
        <f aca="false">IFERROR(D3*J3,0)</f>
        <v>256520</v>
      </c>
      <c r="M3" s="1" t="n">
        <f aca="false">Product_Master!G3</f>
        <v>0</v>
      </c>
      <c r="N3" s="1" t="str">
        <f aca="false">IF(AND(M3&lt;&gt;"",F3&lt;M3),"LOW STOCK","OK")</f>
        <v>OK</v>
      </c>
    </row>
    <row r="4" customFormat="false" ht="14.25" hidden="false" customHeight="true" outlineLevel="0" collapsed="false">
      <c r="A4" s="1" t="str">
        <f aca="false">Product_Master!A4</f>
        <v>WAK</v>
      </c>
      <c r="B4" s="13" t="n">
        <f aca="false">Product_Master!C4</f>
        <v>4713</v>
      </c>
      <c r="C4" s="13" t="n">
        <f aca="false">SUMIFS(Transactions!$H$2:$H$603,Transactions!$G$2:$G$603,$A4,Transactions!$D$2:$D$603,"Purchase")</f>
        <v>10200</v>
      </c>
      <c r="D4" s="13" t="n">
        <f aca="false">SUMIFS(Transactions!$H$2:$H$603,Transactions!$G$2:$G$603,$A4,Transactions!$D$2:$D$603,"Sale")</f>
        <v>9452</v>
      </c>
      <c r="E4" s="13" t="n">
        <f aca="false">SUMIFS(Transactions!$H$2:$H$603,Transactions!$G$2:$G$603,$A4,Transactions!$D$2:$D$603,"Adjustment")</f>
        <v>0</v>
      </c>
      <c r="F4" s="13" t="n">
        <f aca="false">B4+C4-D4-E4</f>
        <v>5461</v>
      </c>
      <c r="G4" s="1" t="n">
        <f aca="false">Product_Master!D4</f>
        <v>120</v>
      </c>
      <c r="H4" s="21" t="n">
        <f aca="false">IF(G4&gt;0,F4/G4,0)</f>
        <v>45.5083333333333</v>
      </c>
      <c r="I4" s="1" t="n">
        <f aca="false">Product_Master!E4</f>
        <v>94</v>
      </c>
      <c r="J4" s="1" t="n">
        <f aca="false">Product_Master!F4</f>
        <v>102</v>
      </c>
      <c r="K4" s="13" t="n">
        <f aca="false">IFERROR(F4*I4,0)</f>
        <v>513334</v>
      </c>
      <c r="L4" s="13" t="n">
        <f aca="false">IFERROR(D4*J4,0)</f>
        <v>964104</v>
      </c>
      <c r="M4" s="1" t="n">
        <f aca="false">Product_Master!G4</f>
        <v>0</v>
      </c>
      <c r="N4" s="1" t="str">
        <f aca="false">IF(AND(M4&lt;&gt;"",F4&lt;M4),"LOW STOCK","OK")</f>
        <v>OK</v>
      </c>
    </row>
    <row r="5" customFormat="false" ht="14.25" hidden="false" customHeight="true" outlineLevel="0" collapsed="false">
      <c r="A5" s="1" t="str">
        <f aca="false">Product_Master!A5</f>
        <v>SNA</v>
      </c>
      <c r="B5" s="13" t="n">
        <f aca="false">Product_Master!C5</f>
        <v>6707</v>
      </c>
      <c r="C5" s="13" t="n">
        <f aca="false">SUMIFS(Transactions!$H$2:$H$603,Transactions!$G$2:$G$603,$A5,Transactions!$D$2:$D$603,"Purchase")</f>
        <v>21000</v>
      </c>
      <c r="D5" s="13" t="n">
        <f aca="false">SUMIFS(Transactions!$H$2:$H$603,Transactions!$G$2:$G$603,$A5,Transactions!$D$2:$D$603,"Sale")</f>
        <v>19736</v>
      </c>
      <c r="E5" s="13" t="n">
        <f aca="false">SUMIFS(Transactions!$H$2:$H$603,Transactions!$G$2:$G$603,$A5,Transactions!$D$2:$D$603,"Adjustment")</f>
        <v>-240</v>
      </c>
      <c r="F5" s="13" t="n">
        <f aca="false">B5+C5-D5-E5</f>
        <v>8211</v>
      </c>
      <c r="G5" s="1" t="n">
        <f aca="false">Product_Master!D5</f>
        <v>120</v>
      </c>
      <c r="H5" s="21" t="n">
        <f aca="false">IF(G5&gt;0,F5/G5,0)</f>
        <v>68.425</v>
      </c>
      <c r="I5" s="1" t="n">
        <f aca="false">Product_Master!E5</f>
        <v>97</v>
      </c>
      <c r="J5" s="1" t="n">
        <f aca="false">Product_Master!F5</f>
        <v>111</v>
      </c>
      <c r="K5" s="13" t="n">
        <f aca="false">IFERROR(F5*I5,0)</f>
        <v>796467</v>
      </c>
      <c r="L5" s="13" t="n">
        <f aca="false">IFERROR(D5*J5,0)</f>
        <v>2190696</v>
      </c>
      <c r="M5" s="1" t="n">
        <f aca="false">Product_Master!G5</f>
        <v>0</v>
      </c>
      <c r="N5" s="1" t="str">
        <f aca="false">IF(AND(M5&lt;&gt;"",F5&lt;M5),"LOW STOCK","OK")</f>
        <v>OK</v>
      </c>
    </row>
    <row r="6" customFormat="false" ht="14.25" hidden="false" customHeight="true" outlineLevel="0" collapsed="false">
      <c r="A6" s="1" t="str">
        <f aca="false">Product_Master!A6</f>
        <v>SBL</v>
      </c>
      <c r="B6" s="13" t="n">
        <f aca="false">Product_Master!C6</f>
        <v>4800</v>
      </c>
      <c r="C6" s="13" t="n">
        <f aca="false">SUMIFS(Transactions!$H$2:$H$603,Transactions!$G$2:$G$603,$A6,Transactions!$D$2:$D$603,"Purchase")</f>
        <v>28200</v>
      </c>
      <c r="D6" s="13" t="n">
        <f aca="false">SUMIFS(Transactions!$H$2:$H$603,Transactions!$G$2:$G$603,$A6,Transactions!$D$2:$D$603,"Sale")</f>
        <v>24384</v>
      </c>
      <c r="E6" s="13" t="n">
        <f aca="false">SUMIFS(Transactions!$H$2:$H$603,Transactions!$G$2:$G$603,$A6,Transactions!$D$2:$D$603,"Adjustment")</f>
        <v>-384</v>
      </c>
      <c r="F6" s="13" t="n">
        <f aca="false">B6+C6-D6-E6</f>
        <v>9000</v>
      </c>
      <c r="G6" s="1" t="n">
        <f aca="false">Product_Master!D6</f>
        <v>120</v>
      </c>
      <c r="H6" s="21" t="n">
        <f aca="false">IF(G6&gt;0,F6/G6,0)</f>
        <v>75</v>
      </c>
      <c r="I6" s="1" t="n">
        <f aca="false">Product_Master!E6</f>
        <v>99</v>
      </c>
      <c r="J6" s="1" t="n">
        <f aca="false">Product_Master!F6</f>
        <v>112</v>
      </c>
      <c r="K6" s="13" t="n">
        <f aca="false">IFERROR(F6*I6,0)</f>
        <v>891000</v>
      </c>
      <c r="L6" s="13" t="n">
        <f aca="false">IFERROR(D6*J6,0)</f>
        <v>2731008</v>
      </c>
      <c r="M6" s="1" t="n">
        <f aca="false">Product_Master!G6</f>
        <v>0</v>
      </c>
      <c r="N6" s="1" t="str">
        <f aca="false">IF(AND(M6&lt;&gt;"",F6&lt;M6),"LOW STOCK","OK")</f>
        <v>OK</v>
      </c>
    </row>
    <row r="7" customFormat="false" ht="14.25" hidden="false" customHeight="true" outlineLevel="0" collapsed="false">
      <c r="A7" s="1" t="str">
        <f aca="false">Product_Master!A7</f>
        <v>XAC</v>
      </c>
      <c r="B7" s="13" t="n">
        <f aca="false">Product_Master!C7</f>
        <v>310</v>
      </c>
      <c r="C7" s="13" t="n">
        <f aca="false">SUMIFS(Transactions!$H$2:$H$603,Transactions!$G$2:$G$603,$A7,Transactions!$D$2:$D$603,"Purchase")</f>
        <v>3600</v>
      </c>
      <c r="D7" s="13" t="n">
        <f aca="false">SUMIFS(Transactions!$H$2:$H$603,Transactions!$G$2:$G$603,$A7,Transactions!$D$2:$D$603,"Sale")</f>
        <v>2728</v>
      </c>
      <c r="E7" s="13" t="n">
        <f aca="false">SUMIFS(Transactions!$H$2:$H$603,Transactions!$G$2:$G$603,$A7,Transactions!$D$2:$D$603,"Adjustment")</f>
        <v>-360</v>
      </c>
      <c r="F7" s="13" t="n">
        <f aca="false">B7+C7-D7-E7</f>
        <v>1542</v>
      </c>
      <c r="G7" s="1" t="n">
        <f aca="false">Product_Master!D7</f>
        <v>120</v>
      </c>
      <c r="H7" s="21" t="n">
        <f aca="false">IF(G7&gt;0,F7/G7,0)</f>
        <v>12.85</v>
      </c>
      <c r="I7" s="1" t="n">
        <f aca="false">Product_Master!E7</f>
        <v>135</v>
      </c>
      <c r="J7" s="1" t="n">
        <f aca="false">Product_Master!F7</f>
        <v>160</v>
      </c>
      <c r="K7" s="13" t="n">
        <f aca="false">IFERROR(F7*I7,0)</f>
        <v>208170</v>
      </c>
      <c r="L7" s="13" t="n">
        <f aca="false">IFERROR(D7*J7,0)</f>
        <v>436480</v>
      </c>
      <c r="M7" s="1" t="n">
        <f aca="false">Product_Master!G7</f>
        <v>0</v>
      </c>
      <c r="N7" s="1" t="str">
        <f aca="false">IF(AND(M7&lt;&gt;"",F7&lt;M7),"LOW STOCK","OK")</f>
        <v>OK</v>
      </c>
    </row>
    <row r="8" customFormat="false" ht="14.25" hidden="false" customHeight="true" outlineLevel="0" collapsed="false">
      <c r="A8" s="1" t="str">
        <f aca="false">Product_Master!A8</f>
        <v>WFAT</v>
      </c>
      <c r="B8" s="13" t="n">
        <f aca="false">Product_Master!C8</f>
        <v>156</v>
      </c>
      <c r="C8" s="13" t="n">
        <f aca="false">SUMIFS(Transactions!$H$2:$H$603,Transactions!$G$2:$G$603,$A8,Transactions!$D$2:$D$603,"Purchase")</f>
        <v>3480</v>
      </c>
      <c r="D8" s="13" t="n">
        <f aca="false">SUMIFS(Transactions!$H$2:$H$603,Transactions!$G$2:$G$603,$A8,Transactions!$D$2:$D$603,"Sale")</f>
        <v>3308</v>
      </c>
      <c r="E8" s="13" t="n">
        <f aca="false">SUMIFS(Transactions!$H$2:$H$603,Transactions!$G$2:$G$603,$A8,Transactions!$D$2:$D$603,"Adjustment")</f>
        <v>0</v>
      </c>
      <c r="F8" s="13" t="n">
        <f aca="false">B8+C8-D8-E8</f>
        <v>328</v>
      </c>
      <c r="G8" s="1" t="n">
        <f aca="false">Product_Master!D8</f>
        <v>120</v>
      </c>
      <c r="H8" s="21" t="n">
        <f aca="false">IF(G8&gt;0,F8/G8,0)</f>
        <v>2.73333333333333</v>
      </c>
      <c r="I8" s="1" t="n">
        <f aca="false">Product_Master!E8</f>
        <v>130</v>
      </c>
      <c r="J8" s="1" t="n">
        <f aca="false">Product_Master!F8</f>
        <v>135</v>
      </c>
      <c r="K8" s="13" t="n">
        <f aca="false">IFERROR(F8*I8,0)</f>
        <v>42640</v>
      </c>
      <c r="L8" s="13" t="n">
        <f aca="false">IFERROR(D8*J8,0)</f>
        <v>446580</v>
      </c>
      <c r="M8" s="1" t="n">
        <f aca="false">Product_Master!G8</f>
        <v>0</v>
      </c>
      <c r="N8" s="1" t="str">
        <f aca="false">IF(AND(M8&lt;&gt;"",F8&lt;M8),"LOW STOCK","OK")</f>
        <v>OK</v>
      </c>
    </row>
    <row r="9" customFormat="false" ht="14.25" hidden="false" customHeight="true" outlineLevel="0" collapsed="false">
      <c r="A9" s="1" t="str">
        <f aca="false">Product_Master!A9</f>
        <v>SUL</v>
      </c>
      <c r="B9" s="13" t="n">
        <f aca="false">Product_Master!C9</f>
        <v>8978</v>
      </c>
      <c r="C9" s="13" t="n">
        <f aca="false">SUMIFS(Transactions!$H$2:$H$603,Transactions!$G$2:$G$603,$A9,Transactions!$D$2:$D$603,"Purchase")</f>
        <v>0</v>
      </c>
      <c r="D9" s="13" t="n">
        <f aca="false">SUMIFS(Transactions!$H$2:$H$603,Transactions!$G$2:$G$603,$A9,Transactions!$D$2:$D$603,"Sale")</f>
        <v>3210</v>
      </c>
      <c r="E9" s="13" t="n">
        <f aca="false">SUMIFS(Transactions!$H$2:$H$603,Transactions!$G$2:$G$603,$A9,Transactions!$D$2:$D$603,"Adjustment")</f>
        <v>0</v>
      </c>
      <c r="F9" s="13" t="n">
        <f aca="false">B9+C9-D9-E9</f>
        <v>5768</v>
      </c>
      <c r="G9" s="1" t="n">
        <f aca="false">Product_Master!D9</f>
        <v>150</v>
      </c>
      <c r="H9" s="21" t="n">
        <f aca="false">IF(G9&gt;0,F9/G9,0)</f>
        <v>38.4533333333333</v>
      </c>
      <c r="I9" s="1" t="n">
        <f aca="false">Product_Master!E9</f>
        <v>148</v>
      </c>
      <c r="J9" s="1" t="n">
        <f aca="false">Product_Master!F9</f>
        <v>185</v>
      </c>
      <c r="K9" s="13" t="n">
        <f aca="false">IFERROR(F9*I9,0)</f>
        <v>853664</v>
      </c>
      <c r="L9" s="13" t="n">
        <f aca="false">IFERROR(D9*J9,0)</f>
        <v>593850</v>
      </c>
      <c r="M9" s="1" t="n">
        <f aca="false">Product_Master!G9</f>
        <v>0</v>
      </c>
      <c r="N9" s="1" t="str">
        <f aca="false">IF(AND(M9&lt;&gt;"",F9&lt;M9),"LOW STOCK","OK")</f>
        <v>OK</v>
      </c>
    </row>
    <row r="10" customFormat="false" ht="14.25" hidden="false" customHeight="true" outlineLevel="0" collapsed="false">
      <c r="A10" s="1" t="str">
        <f aca="false">Product_Master!A10</f>
        <v>KR</v>
      </c>
      <c r="B10" s="13" t="n">
        <f aca="false">Product_Master!C10</f>
        <v>512</v>
      </c>
      <c r="C10" s="13" t="n">
        <f aca="false">SUMIFS(Transactions!$H$2:$H$603,Transactions!$G$2:$G$603,$A10,Transactions!$D$2:$D$603,"Purchase")</f>
        <v>0</v>
      </c>
      <c r="D10" s="13" t="n">
        <f aca="false">SUMIFS(Transactions!$H$2:$H$603,Transactions!$G$2:$G$603,$A10,Transactions!$D$2:$D$603,"Sale")</f>
        <v>480</v>
      </c>
      <c r="E10" s="13" t="n">
        <f aca="false">SUMIFS(Transactions!$H$2:$H$603,Transactions!$G$2:$G$603,$A10,Transactions!$D$2:$D$603,"Adjustment")</f>
        <v>0</v>
      </c>
      <c r="F10" s="13" t="n">
        <f aca="false">B10+C10-D10-E10</f>
        <v>32</v>
      </c>
      <c r="G10" s="1" t="n">
        <f aca="false">Product_Master!D10</f>
        <v>120</v>
      </c>
      <c r="H10" s="21" t="n">
        <f aca="false">IF(G10&gt;0,F10/G10,0)</f>
        <v>0.266666666666667</v>
      </c>
      <c r="I10" s="1" t="n">
        <f aca="false">Product_Master!E10</f>
        <v>163</v>
      </c>
      <c r="J10" s="1" t="n">
        <f aca="false">Product_Master!F10</f>
        <v>175</v>
      </c>
      <c r="K10" s="13" t="n">
        <f aca="false">IFERROR(F10*I10,0)</f>
        <v>5216</v>
      </c>
      <c r="L10" s="13" t="n">
        <f aca="false">IFERROR(D10*J10,0)</f>
        <v>84000</v>
      </c>
      <c r="M10" s="1" t="n">
        <f aca="false">Product_Master!G10</f>
        <v>0</v>
      </c>
      <c r="N10" s="1" t="str">
        <f aca="false">IF(AND(M10&lt;&gt;"",F10&lt;M10),"LOW STOCK","OK")</f>
        <v>OK</v>
      </c>
    </row>
    <row r="11" customFormat="false" ht="14.25" hidden="false" customHeight="true" outlineLevel="0" collapsed="false">
      <c r="A11" s="1" t="str">
        <f aca="false">Product_Master!A11</f>
        <v>G1</v>
      </c>
      <c r="B11" s="13" t="n">
        <f aca="false">Product_Master!C11</f>
        <v>500</v>
      </c>
      <c r="C11" s="13" t="n">
        <f aca="false">SUMIFS(Transactions!$H$2:$H$603,Transactions!$G$2:$G$603,$A11,Transactions!$D$2:$D$603,"Purchase")</f>
        <v>0</v>
      </c>
      <c r="D11" s="13" t="n">
        <f aca="false">SUMIFS(Transactions!$H$2:$H$603,Transactions!$G$2:$G$603,$A11,Transactions!$D$2:$D$603,"Sale")</f>
        <v>0</v>
      </c>
      <c r="E11" s="13" t="n">
        <f aca="false">SUMIFS(Transactions!$H$2:$H$603,Transactions!$G$2:$G$603,$A11,Transactions!$D$2:$D$603,"Adjustment")</f>
        <v>0</v>
      </c>
      <c r="F11" s="13" t="n">
        <f aca="false">B11+C11-D11-E11</f>
        <v>500</v>
      </c>
      <c r="G11" s="1" t="n">
        <f aca="false">Product_Master!D11</f>
        <v>100</v>
      </c>
      <c r="H11" s="21" t="n">
        <f aca="false">IF(G11&gt;0,F11/G11,0)</f>
        <v>5</v>
      </c>
      <c r="I11" s="1" t="n">
        <f aca="false">Product_Master!E11</f>
        <v>105</v>
      </c>
      <c r="J11" s="1" t="n">
        <f aca="false">Product_Master!F11</f>
        <v>135</v>
      </c>
      <c r="K11" s="13" t="n">
        <f aca="false">IFERROR(F11*I11,0)</f>
        <v>52500</v>
      </c>
      <c r="L11" s="13" t="n">
        <f aca="false">IFERROR(D11*J11,0)</f>
        <v>0</v>
      </c>
      <c r="M11" s="1" t="n">
        <f aca="false">Product_Master!G11</f>
        <v>0</v>
      </c>
      <c r="N11" s="1" t="str">
        <f aca="false">IF(AND(M11&lt;&gt;"",F11&lt;M11),"LOW STOCK","OK")</f>
        <v>OK</v>
      </c>
    </row>
    <row r="12" customFormat="false" ht="14.25" hidden="false" customHeight="true" outlineLevel="0" collapsed="false">
      <c r="A12" s="1" t="str">
        <f aca="false">Product_Master!A12</f>
        <v>G2</v>
      </c>
      <c r="B12" s="13" t="n">
        <f aca="false">Product_Master!C12</f>
        <v>100</v>
      </c>
      <c r="C12" s="13" t="n">
        <f aca="false">SUMIFS(Transactions!$H$2:$H$603,Transactions!$G$2:$G$603,$A12,Transactions!$D$2:$D$603,"Purchase")</f>
        <v>0</v>
      </c>
      <c r="D12" s="13" t="n">
        <f aca="false">SUMIFS(Transactions!$H$2:$H$603,Transactions!$G$2:$G$603,$A12,Transactions!$D$2:$D$603,"Sale")</f>
        <v>100</v>
      </c>
      <c r="E12" s="13" t="n">
        <f aca="false">SUMIFS(Transactions!$H$2:$H$603,Transactions!$G$2:$G$603,$A12,Transactions!$D$2:$D$603,"Adjustment")</f>
        <v>0</v>
      </c>
      <c r="F12" s="13" t="n">
        <f aca="false">B12+C12-D12-E12</f>
        <v>0</v>
      </c>
      <c r="G12" s="1" t="n">
        <f aca="false">Product_Master!D12</f>
        <v>100</v>
      </c>
      <c r="H12" s="21" t="n">
        <f aca="false">IF(G12&gt;0,F12/G12,0)</f>
        <v>0</v>
      </c>
      <c r="I12" s="1" t="n">
        <f aca="false">Product_Master!E12</f>
        <v>95</v>
      </c>
      <c r="J12" s="1" t="n">
        <f aca="false">Product_Master!F12</f>
        <v>130</v>
      </c>
      <c r="K12" s="13" t="n">
        <f aca="false">IFERROR(F12*I12,0)</f>
        <v>0</v>
      </c>
      <c r="L12" s="13" t="n">
        <f aca="false">IFERROR(D12*J12,0)</f>
        <v>13000</v>
      </c>
      <c r="M12" s="1" t="n">
        <f aca="false">Product_Master!G12</f>
        <v>0</v>
      </c>
      <c r="N12" s="1" t="str">
        <f aca="false">IF(AND(M12&lt;&gt;"",F12&lt;M12),"LOW STOCK","OK")</f>
        <v>OK</v>
      </c>
    </row>
    <row r="13" customFormat="false" ht="14.25" hidden="false" customHeight="true" outlineLevel="0" collapsed="false">
      <c r="A13" s="1" t="str">
        <f aca="false">Product_Master!A13</f>
        <v>Silcoat</v>
      </c>
      <c r="B13" s="13" t="n">
        <f aca="false">Product_Master!C13</f>
        <v>590</v>
      </c>
      <c r="C13" s="13" t="n">
        <f aca="false">SUMIFS(Transactions!$H$2:$H$603,Transactions!$G$2:$G$603,$A13,Transactions!$D$2:$D$603,"Purchase")</f>
        <v>2040</v>
      </c>
      <c r="D13" s="13" t="n">
        <f aca="false">SUMIFS(Transactions!$H$2:$H$603,Transactions!$G$2:$G$603,$A13,Transactions!$D$2:$D$603,"Sale")</f>
        <v>2183</v>
      </c>
      <c r="E13" s="13" t="n">
        <f aca="false">SUMIFS(Transactions!$H$2:$H$603,Transactions!$G$2:$G$603,$A13,Transactions!$D$2:$D$603,"Adjustment")</f>
        <v>0</v>
      </c>
      <c r="F13" s="13" t="n">
        <f aca="false">B13+C13-D13-E13</f>
        <v>447</v>
      </c>
      <c r="G13" s="1" t="n">
        <f aca="false">Product_Master!D13</f>
        <v>60</v>
      </c>
      <c r="H13" s="21" t="n">
        <f aca="false">IF(G13&gt;0,F13/G13,0)</f>
        <v>7.45</v>
      </c>
      <c r="I13" s="1" t="n">
        <f aca="false">Product_Master!E13</f>
        <v>45</v>
      </c>
      <c r="J13" s="1" t="n">
        <f aca="false">Product_Master!F13</f>
        <v>122</v>
      </c>
      <c r="K13" s="13" t="n">
        <f aca="false">IFERROR(F13*I13,0)</f>
        <v>20115</v>
      </c>
      <c r="L13" s="13" t="n">
        <f aca="false">IFERROR(D13*J13,0)</f>
        <v>266326</v>
      </c>
      <c r="M13" s="1" t="n">
        <f aca="false">Product_Master!G13</f>
        <v>0</v>
      </c>
      <c r="N13" s="1" t="str">
        <f aca="false">IF(AND(M13&lt;&gt;"",F13&lt;M13),"LOW STOCK","OK")</f>
        <v>OK</v>
      </c>
    </row>
    <row r="14" customFormat="false" ht="14.25" hidden="false" customHeight="true" outlineLevel="0" collapsed="false">
      <c r="A14" s="1" t="str">
        <f aca="false">Product_Master!A14</f>
        <v>TiO2</v>
      </c>
      <c r="B14" s="13" t="n">
        <f aca="false">Product_Master!C14</f>
        <v>4861</v>
      </c>
      <c r="C14" s="13" t="n">
        <f aca="false">SUMIFS(Transactions!$H$2:$H$603,Transactions!$G$2:$G$603,$A14,Transactions!$D$2:$D$603,"Purchase")</f>
        <v>4000</v>
      </c>
      <c r="D14" s="13" t="n">
        <f aca="false">SUMIFS(Transactions!$H$2:$H$603,Transactions!$G$2:$G$603,$A14,Transactions!$D$2:$D$603,"Sale")</f>
        <v>3325</v>
      </c>
      <c r="E14" s="13" t="n">
        <f aca="false">SUMIFS(Transactions!$H$2:$H$603,Transactions!$G$2:$G$603,$A14,Transactions!$D$2:$D$603,"Adjustment")</f>
        <v>0</v>
      </c>
      <c r="F14" s="13" t="n">
        <f aca="false">B14+C14-D14-E14</f>
        <v>5536</v>
      </c>
      <c r="G14" s="1" t="n">
        <f aca="false">Product_Master!D14</f>
        <v>25</v>
      </c>
      <c r="H14" s="21" t="n">
        <f aca="false">IF(G14&gt;0,F14/G14,0)</f>
        <v>221.44</v>
      </c>
      <c r="I14" s="1" t="n">
        <f aca="false">Product_Master!E14</f>
        <v>175</v>
      </c>
      <c r="J14" s="1" t="n">
        <f aca="false">Product_Master!F14</f>
        <v>225</v>
      </c>
      <c r="K14" s="13" t="n">
        <f aca="false">IFERROR(F14*I14,0)</f>
        <v>968800</v>
      </c>
      <c r="L14" s="13" t="n">
        <f aca="false">IFERROR(D14*J14,0)</f>
        <v>748125</v>
      </c>
      <c r="M14" s="1" t="n">
        <f aca="false">Product_Master!G14</f>
        <v>0</v>
      </c>
      <c r="N14" s="1" t="str">
        <f aca="false">IF(AND(M14&lt;&gt;"",F14&lt;M14),"LOW STOCK","OK")</f>
        <v>OK</v>
      </c>
    </row>
    <row r="15" customFormat="false" ht="14.25" hidden="false" customHeight="true" outlineLevel="0" collapsed="false">
      <c r="A15" s="1" t="str">
        <f aca="false">Product_Master!A15</f>
        <v>TiO2 R</v>
      </c>
      <c r="B15" s="13" t="n">
        <f aca="false">Product_Master!C15</f>
        <v>50</v>
      </c>
      <c r="C15" s="13" t="n">
        <f aca="false">SUMIFS(Transactions!$H$2:$H$603,Transactions!$G$2:$G$603,$A15,Transactions!$D$2:$D$603,"Purchase")</f>
        <v>1000</v>
      </c>
      <c r="D15" s="13" t="n">
        <f aca="false">SUMIFS(Transactions!$H$2:$H$603,Transactions!$G$2:$G$603,$A15,Transactions!$D$2:$D$603,"Sale")</f>
        <v>625.5</v>
      </c>
      <c r="E15" s="13" t="n">
        <f aca="false">SUMIFS(Transactions!$H$2:$H$603,Transactions!$G$2:$G$603,$A15,Transactions!$D$2:$D$603,"Adjustment")</f>
        <v>0</v>
      </c>
      <c r="F15" s="13" t="n">
        <f aca="false">B15+C15-D15-E15</f>
        <v>424.5</v>
      </c>
      <c r="G15" s="1" t="n">
        <f aca="false">Product_Master!D15</f>
        <v>25</v>
      </c>
      <c r="H15" s="21" t="n">
        <f aca="false">IF(G15&gt;0,F15/G15,0)</f>
        <v>16.98</v>
      </c>
      <c r="I15" s="1" t="n">
        <f aca="false">Product_Master!E15</f>
        <v>230</v>
      </c>
      <c r="J15" s="1" t="n">
        <f aca="false">Product_Master!F15</f>
        <v>282</v>
      </c>
      <c r="K15" s="13" t="n">
        <f aca="false">IFERROR(F15*I15,0)</f>
        <v>97635</v>
      </c>
      <c r="L15" s="13" t="n">
        <f aca="false">IFERROR(D15*J15,0)</f>
        <v>176391</v>
      </c>
      <c r="M15" s="1" t="n">
        <f aca="false">Product_Master!G15</f>
        <v>0</v>
      </c>
      <c r="N15" s="1" t="str">
        <f aca="false">IF(AND(M15&lt;&gt;"",F15&lt;M15),"LOW STOCK","OK")</f>
        <v>OK</v>
      </c>
    </row>
    <row r="16" customFormat="false" ht="14.25" hidden="false" customHeight="true" outlineLevel="0" collapsed="false">
      <c r="A16" s="1" t="str">
        <f aca="false">Product_Master!A16</f>
        <v>ZnO</v>
      </c>
      <c r="B16" s="13" t="n">
        <f aca="false">Product_Master!C16</f>
        <v>0</v>
      </c>
      <c r="C16" s="13" t="n">
        <f aca="false">SUMIFS(Transactions!$H$2:$H$603,Transactions!$G$2:$G$603,$A16,Transactions!$D$2:$D$603,"Purchase")</f>
        <v>100</v>
      </c>
      <c r="D16" s="13" t="n">
        <f aca="false">SUMIFS(Transactions!$H$2:$H$603,Transactions!$G$2:$G$603,$A16,Transactions!$D$2:$D$603,"Sale")</f>
        <v>0</v>
      </c>
      <c r="E16" s="13" t="n">
        <f aca="false">SUMIFS(Transactions!$H$2:$H$603,Transactions!$G$2:$G$603,$A16,Transactions!$D$2:$D$603,"Adjustment")</f>
        <v>0</v>
      </c>
      <c r="F16" s="13" t="n">
        <f aca="false">B16+C16-D16-E16</f>
        <v>100</v>
      </c>
      <c r="G16" s="1" t="n">
        <f aca="false">Product_Master!D16</f>
        <v>25</v>
      </c>
      <c r="H16" s="21" t="n">
        <f aca="false">IF(G16&gt;0,F16/G16,0)</f>
        <v>4</v>
      </c>
      <c r="I16" s="1" t="n">
        <f aca="false">Product_Master!E16</f>
        <v>260</v>
      </c>
      <c r="J16" s="1" t="n">
        <f aca="false">Product_Master!F16</f>
        <v>280</v>
      </c>
      <c r="K16" s="13" t="n">
        <f aca="false">IFERROR(F16*I16,0)</f>
        <v>26000</v>
      </c>
      <c r="L16" s="13" t="n">
        <f aca="false">IFERROR(D16*J16,0)</f>
        <v>0</v>
      </c>
      <c r="M16" s="1" t="n">
        <f aca="false">Product_Master!G16</f>
        <v>0</v>
      </c>
      <c r="N16" s="1" t="str">
        <f aca="false">IF(AND(M16&lt;&gt;"",F16&lt;M16),"LOW STOCK","OK")</f>
        <v>OK</v>
      </c>
    </row>
    <row r="17" customFormat="false" ht="14.25" hidden="false" customHeight="true" outlineLevel="0" collapsed="false">
      <c r="A17" s="1" t="str">
        <f aca="false">Product_Master!A17</f>
        <v>CRTI</v>
      </c>
      <c r="B17" s="13" t="n">
        <f aca="false">Product_Master!C17</f>
        <v>2525</v>
      </c>
      <c r="C17" s="13" t="n">
        <f aca="false">SUMIFS(Transactions!$H$2:$H$603,Transactions!$G$2:$G$603,$A17,Transactions!$D$2:$D$603,"Purchase")</f>
        <v>4000</v>
      </c>
      <c r="D17" s="13" t="n">
        <f aca="false">SUMIFS(Transactions!$H$2:$H$603,Transactions!$G$2:$G$603,$A17,Transactions!$D$2:$D$603,"Sale")</f>
        <v>3500</v>
      </c>
      <c r="E17" s="13" t="n">
        <f aca="false">SUMIFS(Transactions!$H$2:$H$603,Transactions!$G$2:$G$603,$A17,Transactions!$D$2:$D$603,"Adjustment")</f>
        <v>0</v>
      </c>
      <c r="F17" s="13" t="n">
        <f aca="false">B17+C17-D17-E17</f>
        <v>3025</v>
      </c>
      <c r="G17" s="1" t="n">
        <f aca="false">Product_Master!D17</f>
        <v>25</v>
      </c>
      <c r="H17" s="21" t="n">
        <f aca="false">IF(G17&gt;0,F17/G17,0)</f>
        <v>121</v>
      </c>
      <c r="I17" s="1" t="n">
        <f aca="false">Product_Master!E17</f>
        <v>62</v>
      </c>
      <c r="J17" s="1" t="n">
        <f aca="false">Product_Master!F17</f>
        <v>85</v>
      </c>
      <c r="K17" s="13" t="n">
        <f aca="false">IFERROR(F17*I17,0)</f>
        <v>187550</v>
      </c>
      <c r="L17" s="13" t="n">
        <f aca="false">IFERROR(D17*J17,0)</f>
        <v>297500</v>
      </c>
      <c r="M17" s="1" t="n">
        <f aca="false">Product_Master!G17</f>
        <v>0</v>
      </c>
      <c r="N17" s="1" t="str">
        <f aca="false">IF(AND(M17&lt;&gt;"",F17&lt;M17),"LOW STOCK","OK")</f>
        <v>OK</v>
      </c>
    </row>
    <row r="18" customFormat="false" ht="14.25" hidden="false" customHeight="true" outlineLevel="0" collapsed="false">
      <c r="A18" s="1" t="str">
        <f aca="false">Product_Master!A18</f>
        <v>ACT.A</v>
      </c>
      <c r="B18" s="13" t="n">
        <f aca="false">Product_Master!C18</f>
        <v>5249</v>
      </c>
      <c r="C18" s="13" t="n">
        <f aca="false">SUMIFS(Transactions!$H$2:$H$603,Transactions!$G$2:$G$603,$A18,Transactions!$D$2:$D$603,"Purchase")</f>
        <v>0</v>
      </c>
      <c r="D18" s="13" t="n">
        <f aca="false">SUMIFS(Transactions!$H$2:$H$603,Transactions!$G$2:$G$603,$A18,Transactions!$D$2:$D$603,"Sale")</f>
        <v>200</v>
      </c>
      <c r="E18" s="13" t="n">
        <f aca="false">SUMIFS(Transactions!$H$2:$H$603,Transactions!$G$2:$G$603,$A18,Transactions!$D$2:$D$603,"Adjustment")</f>
        <v>0</v>
      </c>
      <c r="F18" s="13" t="n">
        <f aca="false">B18+C18-D18-E18</f>
        <v>5049</v>
      </c>
      <c r="G18" s="1" t="n">
        <f aca="false">Product_Master!D18</f>
        <v>25</v>
      </c>
      <c r="H18" s="21" t="n">
        <f aca="false">IF(G18&gt;0,F18/G18,0)</f>
        <v>201.96</v>
      </c>
      <c r="I18" s="1" t="n">
        <f aca="false">Product_Master!E18</f>
        <v>124</v>
      </c>
      <c r="J18" s="1" t="n">
        <f aca="false">Product_Master!F18</f>
        <v>155</v>
      </c>
      <c r="K18" s="13" t="n">
        <f aca="false">IFERROR(F18*I18,0)</f>
        <v>626076</v>
      </c>
      <c r="L18" s="13" t="n">
        <f aca="false">IFERROR(D18*J18,0)</f>
        <v>31000</v>
      </c>
      <c r="M18" s="1" t="n">
        <f aca="false">Product_Master!G18</f>
        <v>0</v>
      </c>
      <c r="N18" s="1" t="str">
        <f aca="false">IF(AND(M18&lt;&gt;"",F18&lt;M18),"LOW STOCK","OK")</f>
        <v>OK</v>
      </c>
    </row>
    <row r="19" customFormat="false" ht="14.25" hidden="false" customHeight="true" outlineLevel="0" collapsed="false">
      <c r="A19" s="1" t="str">
        <f aca="false">Product_Master!A19</f>
        <v>Act. Conc</v>
      </c>
      <c r="B19" s="13" t="n">
        <f aca="false">Product_Master!C19</f>
        <v>2001</v>
      </c>
      <c r="C19" s="13" t="n">
        <f aca="false">SUMIFS(Transactions!$H$2:$H$603,Transactions!$G$2:$G$603,$A19,Transactions!$D$2:$D$603,"Purchase")</f>
        <v>0</v>
      </c>
      <c r="D19" s="13" t="n">
        <f aca="false">SUMIFS(Transactions!$H$2:$H$603,Transactions!$G$2:$G$603,$A19,Transactions!$D$2:$D$603,"Sale")</f>
        <v>925</v>
      </c>
      <c r="E19" s="13" t="n">
        <f aca="false">SUMIFS(Transactions!$H$2:$H$603,Transactions!$G$2:$G$603,$A19,Transactions!$D$2:$D$603,"Adjustment")</f>
        <v>0</v>
      </c>
      <c r="F19" s="13" t="n">
        <f aca="false">B19+C19-D19-E19</f>
        <v>1076</v>
      </c>
      <c r="G19" s="1" t="n">
        <f aca="false">Product_Master!D19</f>
        <v>25</v>
      </c>
      <c r="H19" s="21" t="n">
        <f aca="false">IF(G19&gt;0,F19/G19,0)</f>
        <v>43.04</v>
      </c>
      <c r="I19" s="1" t="n">
        <f aca="false">Product_Master!E19</f>
        <v>139</v>
      </c>
      <c r="J19" s="1" t="n">
        <f aca="false">Product_Master!F19</f>
        <v>180</v>
      </c>
      <c r="K19" s="13" t="n">
        <f aca="false">IFERROR(F19*I19,0)</f>
        <v>149564</v>
      </c>
      <c r="L19" s="13" t="n">
        <f aca="false">IFERROR(D19*J19,0)</f>
        <v>166500</v>
      </c>
      <c r="M19" s="1" t="n">
        <f aca="false">Product_Master!G19</f>
        <v>0</v>
      </c>
      <c r="N19" s="1" t="str">
        <f aca="false">IF(AND(M19&lt;&gt;"",F19&lt;M19),"LOW STOCK","OK")</f>
        <v>OK</v>
      </c>
    </row>
    <row r="20" customFormat="false" ht="14.25" hidden="false" customHeight="true" outlineLevel="0" collapsed="false">
      <c r="A20" s="1" t="str">
        <f aca="false">Product_Master!A20</f>
        <v>DB</v>
      </c>
      <c r="B20" s="13" t="n">
        <f aca="false">Product_Master!C20</f>
        <v>2144</v>
      </c>
      <c r="C20" s="13" t="n">
        <f aca="false">SUMIFS(Transactions!$H$2:$H$603,Transactions!$G$2:$G$603,$A20,Transactions!$D$2:$D$603,"Purchase")</f>
        <v>2400</v>
      </c>
      <c r="D20" s="13" t="n">
        <f aca="false">SUMIFS(Transactions!$H$2:$H$603,Transactions!$G$2:$G$603,$A20,Transactions!$D$2:$D$603,"Sale")</f>
        <v>2805</v>
      </c>
      <c r="E20" s="13" t="n">
        <f aca="false">SUMIFS(Transactions!$H$2:$H$603,Transactions!$G$2:$G$603,$A20,Transactions!$D$2:$D$603,"Adjustment")</f>
        <v>299</v>
      </c>
      <c r="F20" s="13" t="n">
        <f aca="false">B20+C20-D20-E20</f>
        <v>1440</v>
      </c>
      <c r="G20" s="1" t="n">
        <f aca="false">Product_Master!D20</f>
        <v>120</v>
      </c>
      <c r="H20" s="21" t="n">
        <f aca="false">IF(G20&gt;0,F20/G20,0)</f>
        <v>12</v>
      </c>
      <c r="I20" s="1" t="n">
        <f aca="false">Product_Master!E20</f>
        <v>86</v>
      </c>
      <c r="J20" s="1" t="n">
        <f aca="false">Product_Master!F20</f>
        <v>103</v>
      </c>
      <c r="K20" s="13" t="n">
        <f aca="false">IFERROR(F20*I20,0)</f>
        <v>123840</v>
      </c>
      <c r="L20" s="13" t="n">
        <f aca="false">IFERROR(D20*J20,0)</f>
        <v>288915</v>
      </c>
      <c r="M20" s="1" t="n">
        <f aca="false">Product_Master!G20</f>
        <v>0</v>
      </c>
      <c r="N20" s="1" t="str">
        <f aca="false">IF(AND(M20&lt;&gt;"",F20&lt;M20),"LOW STOCK","OK")</f>
        <v>OK</v>
      </c>
    </row>
    <row r="21" customFormat="false" ht="14.25" hidden="false" customHeight="true" outlineLevel="0" collapsed="false">
      <c r="A21" s="1" t="str">
        <f aca="false">Product_Master!A21</f>
        <v>RM</v>
      </c>
      <c r="B21" s="13" t="n">
        <f aca="false">Product_Master!C21</f>
        <v>2880</v>
      </c>
      <c r="C21" s="13" t="n">
        <f aca="false">SUMIFS(Transactions!$H$2:$H$603,Transactions!$G$2:$G$603,$A21,Transactions!$D$2:$D$603,"Purchase")</f>
        <v>0</v>
      </c>
      <c r="D21" s="13" t="n">
        <f aca="false">SUMIFS(Transactions!$H$2:$H$603,Transactions!$G$2:$G$603,$A21,Transactions!$D$2:$D$603,"Sale")</f>
        <v>575</v>
      </c>
      <c r="E21" s="13" t="n">
        <f aca="false">SUMIFS(Transactions!$H$2:$H$603,Transactions!$G$2:$G$603,$A21,Transactions!$D$2:$D$603,"Adjustment")</f>
        <v>0</v>
      </c>
      <c r="F21" s="13" t="n">
        <f aca="false">B21+C21-D21-E21</f>
        <v>2305</v>
      </c>
      <c r="G21" s="1" t="n">
        <f aca="false">Product_Master!D21</f>
        <v>25</v>
      </c>
      <c r="H21" s="21" t="n">
        <f aca="false">IF(G21&gt;0,F21/G21,0)</f>
        <v>92.2</v>
      </c>
      <c r="I21" s="1" t="n">
        <f aca="false">Product_Master!E21</f>
        <v>123</v>
      </c>
      <c r="J21" s="1" t="n">
        <f aca="false">Product_Master!F21</f>
        <v>126</v>
      </c>
      <c r="K21" s="13" t="n">
        <f aca="false">IFERROR(F21*I21,0)</f>
        <v>283515</v>
      </c>
      <c r="L21" s="13" t="n">
        <f aca="false">IFERROR(D21*J21,0)</f>
        <v>72450</v>
      </c>
      <c r="M21" s="1" t="n">
        <f aca="false">Product_Master!G21</f>
        <v>0</v>
      </c>
      <c r="N21" s="1" t="str">
        <f aca="false">IF(AND(M21&lt;&gt;"",F21&lt;M21),"LOW STOCK","OK")</f>
        <v>OK</v>
      </c>
    </row>
    <row r="22" customFormat="false" ht="14.25" hidden="false" customHeight="true" outlineLevel="0" collapsed="false">
      <c r="A22" s="1" t="str">
        <f aca="false">Product_Master!A22</f>
        <v>AW</v>
      </c>
      <c r="B22" s="13" t="n">
        <f aca="false">Product_Master!C22</f>
        <v>1598</v>
      </c>
      <c r="C22" s="13" t="n">
        <f aca="false">SUMIFS(Transactions!$H$2:$H$603,Transactions!$G$2:$G$603,$A22,Transactions!$D$2:$D$603,"Purchase")</f>
        <v>4000</v>
      </c>
      <c r="D22" s="13" t="n">
        <f aca="false">SUMIFS(Transactions!$H$2:$H$603,Transactions!$G$2:$G$603,$A22,Transactions!$D$2:$D$603,"Sale")</f>
        <v>2875</v>
      </c>
      <c r="E22" s="13" t="n">
        <f aca="false">SUMIFS(Transactions!$H$2:$H$603,Transactions!$G$2:$G$603,$A22,Transactions!$D$2:$D$603,"Adjustment")</f>
        <v>-27</v>
      </c>
      <c r="F22" s="13" t="n">
        <f aca="false">B22+C22-D22-E22</f>
        <v>2750</v>
      </c>
      <c r="G22" s="1" t="n">
        <f aca="false">Product_Master!D22</f>
        <v>25</v>
      </c>
      <c r="H22" s="21" t="n">
        <f aca="false">IF(G22&gt;0,F22/G22,0)</f>
        <v>110</v>
      </c>
      <c r="I22" s="1" t="n">
        <f aca="false">Product_Master!E22</f>
        <v>210</v>
      </c>
      <c r="J22" s="1" t="n">
        <f aca="false">Product_Master!F22</f>
        <v>203</v>
      </c>
      <c r="K22" s="13" t="n">
        <f aca="false">IFERROR(F22*I22,0)</f>
        <v>577500</v>
      </c>
      <c r="L22" s="13" t="n">
        <f aca="false">IFERROR(D22*J22,0)</f>
        <v>583625</v>
      </c>
      <c r="M22" s="1" t="n">
        <f aca="false">Product_Master!G22</f>
        <v>0</v>
      </c>
      <c r="N22" s="1" t="str">
        <f aca="false">IF(AND(M22&lt;&gt;"",F22&lt;M22),"LOW STOCK","OK")</f>
        <v>OK</v>
      </c>
    </row>
    <row r="23" customFormat="false" ht="14.25" hidden="false" customHeight="true" outlineLevel="0" collapsed="false">
      <c r="A23" s="1" t="str">
        <f aca="false">Product_Master!A23</f>
        <v>NSA</v>
      </c>
      <c r="B23" s="13" t="n">
        <f aca="false">Product_Master!C23</f>
        <v>2810</v>
      </c>
      <c r="C23" s="13" t="n">
        <f aca="false">SUMIFS(Transactions!$H$2:$H$603,Transactions!$G$2:$G$603,$A23,Transactions!$D$2:$D$603,"Purchase")</f>
        <v>0</v>
      </c>
      <c r="D23" s="13" t="n">
        <f aca="false">SUMIFS(Transactions!$H$2:$H$603,Transactions!$G$2:$G$603,$A23,Transactions!$D$2:$D$603,"Sale")</f>
        <v>1737.5</v>
      </c>
      <c r="E23" s="13" t="n">
        <f aca="false">SUMIFS(Transactions!$H$2:$H$603,Transactions!$G$2:$G$603,$A23,Transactions!$D$2:$D$603,"Adjustment")</f>
        <v>0</v>
      </c>
      <c r="F23" s="13" t="n">
        <f aca="false">B23+C23-D23-E23</f>
        <v>1072.5</v>
      </c>
      <c r="G23" s="1" t="n">
        <f aca="false">Product_Master!D23</f>
        <v>25</v>
      </c>
      <c r="H23" s="21" t="n">
        <f aca="false">IF(G23&gt;0,F23/G23,0)</f>
        <v>42.9</v>
      </c>
      <c r="I23" s="1" t="n">
        <f aca="false">Product_Master!E23</f>
        <v>148</v>
      </c>
      <c r="J23" s="1" t="n">
        <f aca="false">Product_Master!F23</f>
        <v>148</v>
      </c>
      <c r="K23" s="13" t="n">
        <f aca="false">IFERROR(F23*I23,0)</f>
        <v>158730</v>
      </c>
      <c r="L23" s="13" t="n">
        <f aca="false">IFERROR(D23*J23,0)</f>
        <v>257150</v>
      </c>
      <c r="M23" s="1" t="n">
        <f aca="false">Product_Master!G23</f>
        <v>0</v>
      </c>
      <c r="N23" s="1" t="str">
        <f aca="false">IF(AND(M23&lt;&gt;"",F23&lt;M23),"LOW STOCK","OK")</f>
        <v>OK</v>
      </c>
    </row>
    <row r="24" customFormat="false" ht="14.25" hidden="false" customHeight="true" outlineLevel="0" collapsed="false">
      <c r="A24" s="1" t="str">
        <f aca="false">Product_Master!A24</f>
        <v>RU</v>
      </c>
      <c r="B24" s="13" t="n">
        <f aca="false">Product_Master!C24</f>
        <v>2618</v>
      </c>
      <c r="C24" s="13" t="n">
        <f aca="false">SUMIFS(Transactions!$H$2:$H$603,Transactions!$G$2:$G$603,$A24,Transactions!$D$2:$D$603,"Purchase")</f>
        <v>2400</v>
      </c>
      <c r="D24" s="13" t="n">
        <f aca="false">SUMIFS(Transactions!$H$2:$H$603,Transactions!$G$2:$G$603,$A24,Transactions!$D$2:$D$603,"Sale")</f>
        <v>2160</v>
      </c>
      <c r="E24" s="13" t="n">
        <f aca="false">SUMIFS(Transactions!$H$2:$H$603,Transactions!$G$2:$G$603,$A24,Transactions!$D$2:$D$603,"Adjustment")</f>
        <v>216</v>
      </c>
      <c r="F24" s="13" t="n">
        <f aca="false">B24+C24-D24-E24</f>
        <v>2642</v>
      </c>
      <c r="G24" s="1" t="n">
        <f aca="false">Product_Master!D24</f>
        <v>120</v>
      </c>
      <c r="H24" s="21" t="n">
        <f aca="false">IF(G24&gt;0,F24/G24,0)</f>
        <v>22.0166666666667</v>
      </c>
      <c r="I24" s="1" t="n">
        <f aca="false">Product_Master!E24</f>
        <v>176</v>
      </c>
      <c r="J24" s="1" t="n">
        <f aca="false">Product_Master!F24</f>
        <v>198</v>
      </c>
      <c r="K24" s="13" t="n">
        <f aca="false">IFERROR(F24*I24,0)</f>
        <v>464992</v>
      </c>
      <c r="L24" s="13" t="n">
        <f aca="false">IFERROR(D24*J24,0)</f>
        <v>427680</v>
      </c>
      <c r="M24" s="1" t="n">
        <f aca="false">Product_Master!G24</f>
        <v>0</v>
      </c>
      <c r="N24" s="1" t="str">
        <f aca="false">IF(AND(M24&lt;&gt;"",F24&lt;M24),"LOW STOCK","OK")</f>
        <v>OK</v>
      </c>
    </row>
    <row r="25" customFormat="false" ht="14.25" hidden="false" customHeight="true" outlineLevel="0" collapsed="false">
      <c r="A25" s="1" t="str">
        <f aca="false">Product_Master!A25</f>
        <v>OIT 9</v>
      </c>
      <c r="B25" s="13" t="n">
        <f aca="false">Product_Master!C25</f>
        <v>164.3</v>
      </c>
      <c r="C25" s="13" t="n">
        <f aca="false">SUMIFS(Transactions!$H$2:$H$603,Transactions!$G$2:$G$603,$A25,Transactions!$D$2:$D$603,"Purchase")</f>
        <v>690</v>
      </c>
      <c r="D25" s="13" t="n">
        <f aca="false">SUMIFS(Transactions!$H$2:$H$603,Transactions!$G$2:$G$603,$A25,Transactions!$D$2:$D$603,"Sale")</f>
        <v>552.4</v>
      </c>
      <c r="E25" s="13" t="n">
        <f aca="false">SUMIFS(Transactions!$H$2:$H$603,Transactions!$G$2:$G$603,$A25,Transactions!$D$2:$D$603,"Adjustment")</f>
        <v>1.9</v>
      </c>
      <c r="F25" s="13" t="n">
        <f aca="false">B25+C25-D25-E25</f>
        <v>300</v>
      </c>
      <c r="G25" s="1" t="n">
        <f aca="false">Product_Master!D25</f>
        <v>30</v>
      </c>
      <c r="H25" s="21" t="n">
        <f aca="false">IF(G25&gt;0,F25/G25,0)</f>
        <v>10</v>
      </c>
      <c r="I25" s="1" t="n">
        <f aca="false">Product_Master!E25</f>
        <v>149</v>
      </c>
      <c r="J25" s="1" t="n">
        <f aca="false">Product_Master!F25</f>
        <v>229</v>
      </c>
      <c r="K25" s="13" t="n">
        <f aca="false">IFERROR(F25*I25,0)</f>
        <v>44700</v>
      </c>
      <c r="L25" s="13" t="n">
        <f aca="false">IFERROR(D25*J25,0)</f>
        <v>126499.6</v>
      </c>
      <c r="M25" s="1" t="n">
        <f aca="false">Product_Master!G25</f>
        <v>0</v>
      </c>
      <c r="N25" s="1" t="str">
        <f aca="false">IF(AND(M25&lt;&gt;"",F25&lt;M25),"LOW STOCK","OK")</f>
        <v>OK</v>
      </c>
    </row>
    <row r="26" customFormat="false" ht="14.25" hidden="false" customHeight="true" outlineLevel="0" collapsed="false">
      <c r="A26" s="1" t="str">
        <f aca="false">Product_Master!A26</f>
        <v>BPR</v>
      </c>
      <c r="B26" s="13" t="n">
        <f aca="false">Product_Master!C26</f>
        <v>0</v>
      </c>
      <c r="C26" s="13" t="n">
        <f aca="false">SUMIFS(Transactions!$H$2:$H$603,Transactions!$G$2:$G$603,$A26,Transactions!$D$2:$D$603,"Purchase")</f>
        <v>0</v>
      </c>
      <c r="D26" s="13" t="n">
        <f aca="false">SUMIFS(Transactions!$H$2:$H$603,Transactions!$G$2:$G$603,$A26,Transactions!$D$2:$D$603,"Sale")</f>
        <v>0</v>
      </c>
      <c r="E26" s="13" t="n">
        <f aca="false">SUMIFS(Transactions!$H$2:$H$603,Transactions!$G$2:$G$603,$A26,Transactions!$D$2:$D$603,"Adjustment")</f>
        <v>0</v>
      </c>
      <c r="F26" s="13" t="n">
        <f aca="false">B26+C26-D26-E26</f>
        <v>0</v>
      </c>
      <c r="G26" s="1" t="n">
        <f aca="false">Product_Master!D26</f>
        <v>120</v>
      </c>
      <c r="H26" s="21" t="n">
        <f aca="false">IF(G26&gt;0,F26/G26,0)</f>
        <v>0</v>
      </c>
      <c r="I26" s="1" t="n">
        <f aca="false">Product_Master!E26</f>
        <v>256</v>
      </c>
      <c r="J26" s="1" t="n">
        <f aca="false">Product_Master!F26</f>
        <v>355</v>
      </c>
      <c r="K26" s="13" t="n">
        <f aca="false">IFERROR(F26*I26,0)</f>
        <v>0</v>
      </c>
      <c r="L26" s="13" t="n">
        <f aca="false">IFERROR(D26*J26,0)</f>
        <v>0</v>
      </c>
      <c r="M26" s="1" t="n">
        <f aca="false">Product_Master!G26</f>
        <v>0</v>
      </c>
      <c r="N26" s="1" t="str">
        <f aca="false">IF(AND(M26&lt;&gt;"",F26&lt;M26),"LOW STOCK","OK")</f>
        <v>OK</v>
      </c>
    </row>
    <row r="27" customFormat="false" ht="14.25" hidden="false" customHeight="true" outlineLevel="0" collapsed="false">
      <c r="A27" s="1" t="str">
        <f aca="false">Product_Master!A27</f>
        <v>AC</v>
      </c>
      <c r="B27" s="13" t="n">
        <f aca="false">Product_Master!C27</f>
        <v>112</v>
      </c>
      <c r="C27" s="13" t="n">
        <f aca="false">SUMIFS(Transactions!$H$2:$H$603,Transactions!$G$2:$G$603,$A27,Transactions!$D$2:$D$603,"Purchase")</f>
        <v>0</v>
      </c>
      <c r="D27" s="13" t="n">
        <f aca="false">SUMIFS(Transactions!$H$2:$H$603,Transactions!$G$2:$G$603,$A27,Transactions!$D$2:$D$603,"Sale")</f>
        <v>0</v>
      </c>
      <c r="E27" s="13" t="n">
        <f aca="false">SUMIFS(Transactions!$H$2:$H$603,Transactions!$G$2:$G$603,$A27,Transactions!$D$2:$D$603,"Adjustment")</f>
        <v>0</v>
      </c>
      <c r="F27" s="13" t="n">
        <f aca="false">B27+C27-D27-E27</f>
        <v>112</v>
      </c>
      <c r="G27" s="1" t="n">
        <f aca="false">Product_Master!D27</f>
        <v>120</v>
      </c>
      <c r="H27" s="21" t="n">
        <f aca="false">IF(G27&gt;0,F27/G27,0)</f>
        <v>0.933333333333333</v>
      </c>
      <c r="I27" s="1" t="n">
        <f aca="false">Product_Master!E27</f>
        <v>183</v>
      </c>
      <c r="J27" s="1" t="n">
        <f aca="false">Product_Master!F27</f>
        <v>183</v>
      </c>
      <c r="K27" s="13" t="n">
        <f aca="false">IFERROR(F27*I27,0)</f>
        <v>20496</v>
      </c>
      <c r="L27" s="13" t="n">
        <f aca="false">IFERROR(D27*J27,0)</f>
        <v>0</v>
      </c>
      <c r="M27" s="1" t="n">
        <f aca="false">Product_Master!G27</f>
        <v>0</v>
      </c>
      <c r="N27" s="1" t="str">
        <f aca="false">IF(AND(M27&lt;&gt;"",F27&lt;M27),"LOW STOCK","OK")</f>
        <v>OK</v>
      </c>
    </row>
    <row r="28" customFormat="false" ht="14.25" hidden="false" customHeight="true" outlineLevel="0" collapsed="false">
      <c r="A28" s="1" t="str">
        <f aca="false">Product_Master!A28</f>
        <v>EF</v>
      </c>
      <c r="B28" s="13" t="n">
        <f aca="false">Product_Master!C28</f>
        <v>283</v>
      </c>
      <c r="C28" s="13" t="n">
        <f aca="false">SUMIFS(Transactions!$H$2:$H$603,Transactions!$G$2:$G$603,$A28,Transactions!$D$2:$D$603,"Purchase")</f>
        <v>0</v>
      </c>
      <c r="D28" s="13" t="n">
        <f aca="false">SUMIFS(Transactions!$H$2:$H$603,Transactions!$G$2:$G$603,$A28,Transactions!$D$2:$D$603,"Sale")</f>
        <v>0</v>
      </c>
      <c r="E28" s="13" t="n">
        <f aca="false">SUMIFS(Transactions!$H$2:$H$603,Transactions!$G$2:$G$603,$A28,Transactions!$D$2:$D$603,"Adjustment")</f>
        <v>0</v>
      </c>
      <c r="F28" s="13" t="n">
        <f aca="false">B28+C28-D28-E28</f>
        <v>283</v>
      </c>
      <c r="G28" s="1" t="n">
        <f aca="false">Product_Master!D28</f>
        <v>120</v>
      </c>
      <c r="H28" s="21" t="n">
        <f aca="false">IF(G28&gt;0,F28/G28,0)</f>
        <v>2.35833333333333</v>
      </c>
      <c r="I28" s="1" t="n">
        <f aca="false">Product_Master!E28</f>
        <v>220</v>
      </c>
      <c r="J28" s="1" t="n">
        <f aca="false">Product_Master!F28</f>
        <v>260</v>
      </c>
      <c r="K28" s="13" t="n">
        <f aca="false">IFERROR(F28*I28,0)</f>
        <v>62260</v>
      </c>
      <c r="L28" s="13" t="n">
        <f aca="false">IFERROR(D28*J28,0)</f>
        <v>0</v>
      </c>
      <c r="M28" s="1" t="n">
        <f aca="false">Product_Master!G28</f>
        <v>0</v>
      </c>
      <c r="N28" s="1" t="str">
        <f aca="false">IF(AND(M28&lt;&gt;"",F28&lt;M28),"LOW STOCK","OK")</f>
        <v>OK</v>
      </c>
    </row>
    <row r="29" customFormat="false" ht="14.25" hidden="false" customHeight="true" outlineLevel="0" collapsed="false">
      <c r="A29" s="1" t="str">
        <f aca="false">Product_Master!A29</f>
        <v>PBS</v>
      </c>
      <c r="B29" s="13" t="n">
        <f aca="false">Product_Master!C29</f>
        <v>85</v>
      </c>
      <c r="C29" s="13" t="n">
        <f aca="false">SUMIFS(Transactions!$H$2:$H$603,Transactions!$G$2:$G$603,$A29,Transactions!$D$2:$D$603,"Purchase")</f>
        <v>0</v>
      </c>
      <c r="D29" s="13" t="n">
        <f aca="false">SUMIFS(Transactions!$H$2:$H$603,Transactions!$G$2:$G$603,$A29,Transactions!$D$2:$D$603,"Sale")</f>
        <v>0</v>
      </c>
      <c r="E29" s="13" t="n">
        <f aca="false">SUMIFS(Transactions!$H$2:$H$603,Transactions!$G$2:$G$603,$A29,Transactions!$D$2:$D$603,"Adjustment")</f>
        <v>0</v>
      </c>
      <c r="F29" s="13" t="n">
        <f aca="false">B29+C29-D29-E29</f>
        <v>85</v>
      </c>
      <c r="G29" s="1" t="n">
        <f aca="false">Product_Master!D29</f>
        <v>120</v>
      </c>
      <c r="H29" s="21" t="n">
        <f aca="false">IF(G29&gt;0,F29/G29,0)</f>
        <v>0.708333333333333</v>
      </c>
      <c r="I29" s="1" t="n">
        <f aca="false">Product_Master!E29</f>
        <v>150</v>
      </c>
      <c r="J29" s="1" t="n">
        <f aca="false">Product_Master!F29</f>
        <v>150</v>
      </c>
      <c r="K29" s="13" t="n">
        <f aca="false">IFERROR(F29*I29,0)</f>
        <v>12750</v>
      </c>
      <c r="L29" s="13" t="n">
        <f aca="false">IFERROR(D29*J29,0)</f>
        <v>0</v>
      </c>
      <c r="M29" s="1" t="n">
        <f aca="false">Product_Master!G29</f>
        <v>0</v>
      </c>
      <c r="N29" s="1" t="str">
        <f aca="false">IF(AND(M29&lt;&gt;"",F29&lt;M29),"LOW STOCK","OK")</f>
        <v>OK</v>
      </c>
    </row>
    <row r="30" customFormat="false" ht="14.25" hidden="false" customHeight="true" outlineLevel="0" collapsed="false">
      <c r="A30" s="1" t="str">
        <f aca="false">Product_Master!A30</f>
        <v>G50</v>
      </c>
      <c r="B30" s="13" t="n">
        <f aca="false">Product_Master!C30</f>
        <v>456</v>
      </c>
      <c r="C30" s="13" t="n">
        <f aca="false">SUMIFS(Transactions!$H$2:$H$603,Transactions!$G$2:$G$603,$A30,Transactions!$D$2:$D$603,"Purchase")</f>
        <v>0</v>
      </c>
      <c r="D30" s="13" t="n">
        <f aca="false">SUMIFS(Transactions!$H$2:$H$603,Transactions!$G$2:$G$603,$A30,Transactions!$D$2:$D$603,"Sale")</f>
        <v>0</v>
      </c>
      <c r="E30" s="13" t="n">
        <f aca="false">SUMIFS(Transactions!$H$2:$H$603,Transactions!$G$2:$G$603,$A30,Transactions!$D$2:$D$603,"Adjustment")</f>
        <v>-24</v>
      </c>
      <c r="F30" s="13" t="n">
        <f aca="false">B30+C30-D30-E30</f>
        <v>480</v>
      </c>
      <c r="G30" s="1" t="n">
        <f aca="false">Product_Master!D30</f>
        <v>120</v>
      </c>
      <c r="H30" s="21" t="n">
        <f aca="false">IF(G30&gt;0,F30/G30,0)</f>
        <v>4</v>
      </c>
      <c r="I30" s="1" t="n">
        <f aca="false">Product_Master!E30</f>
        <v>102</v>
      </c>
      <c r="J30" s="1" t="n">
        <f aca="false">Product_Master!F30</f>
        <v>125</v>
      </c>
      <c r="K30" s="13" t="n">
        <f aca="false">IFERROR(F30*I30,0)</f>
        <v>48960</v>
      </c>
      <c r="L30" s="13" t="n">
        <f aca="false">IFERROR(D30*J30,0)</f>
        <v>0</v>
      </c>
      <c r="M30" s="1" t="n">
        <f aca="false">Product_Master!G30</f>
        <v>0</v>
      </c>
      <c r="N30" s="1" t="str">
        <f aca="false">IF(AND(M30&lt;&gt;"",F30&lt;M30),"LOW STOCK","OK")</f>
        <v>OK</v>
      </c>
    </row>
    <row r="31" customFormat="false" ht="14.25" hidden="false" customHeight="true" outlineLevel="0" collapsed="false">
      <c r="A31" s="1" t="str">
        <f aca="false">Product_Master!A31</f>
        <v>ECO 6</v>
      </c>
      <c r="B31" s="13" t="n">
        <f aca="false">Product_Master!C31</f>
        <v>500</v>
      </c>
      <c r="C31" s="13" t="n">
        <f aca="false">SUMIFS(Transactions!$H$2:$H$603,Transactions!$G$2:$G$603,$A31,Transactions!$D$2:$D$603,"Purchase")</f>
        <v>0</v>
      </c>
      <c r="D31" s="13" t="n">
        <f aca="false">SUMIFS(Transactions!$H$2:$H$603,Transactions!$G$2:$G$603,$A31,Transactions!$D$2:$D$603,"Sale")</f>
        <v>500</v>
      </c>
      <c r="E31" s="13" t="n">
        <f aca="false">SUMIFS(Transactions!$H$2:$H$603,Transactions!$G$2:$G$603,$A31,Transactions!$D$2:$D$603,"Adjustment")</f>
        <v>0</v>
      </c>
      <c r="F31" s="13" t="n">
        <f aca="false">B31+C31-D31-E31</f>
        <v>0</v>
      </c>
      <c r="G31" s="1" t="n">
        <f aca="false">Product_Master!D31</f>
        <v>25</v>
      </c>
      <c r="H31" s="21" t="n">
        <f aca="false">IF(G31&gt;0,F31/G31,0)</f>
        <v>0</v>
      </c>
      <c r="I31" s="1" t="n">
        <f aca="false">Product_Master!E31</f>
        <v>250</v>
      </c>
      <c r="J31" s="1" t="n">
        <f aca="false">Product_Master!F31</f>
        <v>330</v>
      </c>
      <c r="K31" s="13" t="n">
        <f aca="false">IFERROR(F31*I31,0)</f>
        <v>0</v>
      </c>
      <c r="L31" s="13" t="n">
        <f aca="false">IFERROR(D31*J31,0)</f>
        <v>165000</v>
      </c>
      <c r="M31" s="1" t="n">
        <f aca="false">Product_Master!G31</f>
        <v>0</v>
      </c>
      <c r="N31" s="1" t="str">
        <f aca="false">IF(AND(M31&lt;&gt;"",F31&lt;M31),"LOW STOCK","OK")</f>
        <v>OK</v>
      </c>
    </row>
    <row r="32" customFormat="false" ht="14.25" hidden="false" customHeight="true" outlineLevel="0" collapsed="false">
      <c r="A32" s="1" t="str">
        <f aca="false">Product_Master!A32</f>
        <v>FP</v>
      </c>
      <c r="B32" s="13" t="n">
        <f aca="false">Product_Master!C32</f>
        <v>1035</v>
      </c>
      <c r="C32" s="13" t="n">
        <f aca="false">SUMIFS(Transactions!$H$2:$H$603,Transactions!$G$2:$G$603,$A32,Transactions!$D$2:$D$603,"Purchase")</f>
        <v>1000</v>
      </c>
      <c r="D32" s="13" t="n">
        <f aca="false">SUMIFS(Transactions!$H$2:$H$603,Transactions!$G$2:$G$603,$A32,Transactions!$D$2:$D$603,"Sale")</f>
        <v>200</v>
      </c>
      <c r="E32" s="13" t="n">
        <f aca="false">SUMIFS(Transactions!$H$2:$H$603,Transactions!$G$2:$G$603,$A32,Transactions!$D$2:$D$603,"Adjustment")</f>
        <v>0</v>
      </c>
      <c r="F32" s="13" t="n">
        <f aca="false">B32+C32-D32-E32</f>
        <v>1835</v>
      </c>
      <c r="G32" s="1" t="n">
        <f aca="false">Product_Master!D32</f>
        <v>25</v>
      </c>
      <c r="H32" s="21" t="n">
        <f aca="false">IF(G32&gt;0,F32/G32,0)</f>
        <v>73.4</v>
      </c>
      <c r="I32" s="1" t="n">
        <f aca="false">Product_Master!E32</f>
        <v>100</v>
      </c>
      <c r="J32" s="1" t="n">
        <f aca="false">Product_Master!F32</f>
        <v>125</v>
      </c>
      <c r="K32" s="13" t="n">
        <f aca="false">IFERROR(F32*I32,0)</f>
        <v>183500</v>
      </c>
      <c r="L32" s="13" t="n">
        <f aca="false">IFERROR(D32*J32,0)</f>
        <v>25000</v>
      </c>
      <c r="M32" s="1" t="n">
        <f aca="false">Product_Master!G32</f>
        <v>0</v>
      </c>
      <c r="N32" s="1" t="str">
        <f aca="false">IF(AND(M32&lt;&gt;"",F32&lt;M32),"LOW STOCK","OK")</f>
        <v>OK</v>
      </c>
    </row>
    <row r="33" customFormat="false" ht="14.25" hidden="false" customHeight="true" outlineLevel="0" collapsed="false">
      <c r="A33" s="1" t="str">
        <f aca="false">Product_Master!A33</f>
        <v>SUM</v>
      </c>
      <c r="B33" s="13" t="n">
        <f aca="false">Product_Master!C33</f>
        <v>96</v>
      </c>
      <c r="C33" s="13" t="n">
        <f aca="false">SUMIFS(Transactions!$H$2:$H$603,Transactions!$G$2:$G$603,$A33,Transactions!$D$2:$D$603,"Purchase")</f>
        <v>0</v>
      </c>
      <c r="D33" s="13" t="n">
        <f aca="false">SUMIFS(Transactions!$H$2:$H$603,Transactions!$G$2:$G$603,$A33,Transactions!$D$2:$D$603,"Sale")</f>
        <v>0</v>
      </c>
      <c r="E33" s="13" t="n">
        <f aca="false">SUMIFS(Transactions!$H$2:$H$603,Transactions!$G$2:$G$603,$A33,Transactions!$D$2:$D$603,"Adjustment")</f>
        <v>0</v>
      </c>
      <c r="F33" s="13" t="n">
        <f aca="false">B33+C33-D33-E33</f>
        <v>96</v>
      </c>
      <c r="G33" s="1" t="n">
        <f aca="false">Product_Master!D33</f>
        <v>120</v>
      </c>
      <c r="H33" s="21" t="n">
        <f aca="false">IF(G33&gt;0,F33/G33,0)</f>
        <v>0.8</v>
      </c>
      <c r="I33" s="1" t="n">
        <f aca="false">Product_Master!E33</f>
        <v>67</v>
      </c>
      <c r="J33" s="1" t="n">
        <f aca="false">Product_Master!F33</f>
        <v>125</v>
      </c>
      <c r="K33" s="13" t="n">
        <f aca="false">IFERROR(F33*I33,0)</f>
        <v>6432</v>
      </c>
      <c r="L33" s="13" t="n">
        <f aca="false">IFERROR(D33*J33,0)</f>
        <v>0</v>
      </c>
      <c r="M33" s="1" t="n">
        <f aca="false">Product_Master!G33</f>
        <v>0</v>
      </c>
      <c r="N33" s="1" t="str">
        <f aca="false">IF(AND(M33&lt;&gt;"",F33&lt;M33),"LOW STOCK","OK")</f>
        <v>OK</v>
      </c>
    </row>
    <row r="34" customFormat="false" ht="14.25" hidden="false" customHeight="true" outlineLevel="0" collapsed="false">
      <c r="A34" s="1" t="str">
        <f aca="false">Product_Master!A34</f>
        <v>DLPS</v>
      </c>
      <c r="B34" s="13" t="n">
        <f aca="false">Product_Master!C34</f>
        <v>0</v>
      </c>
      <c r="C34" s="13" t="n">
        <f aca="false">SUMIFS(Transactions!$H$2:$H$603,Transactions!$G$2:$G$603,$A34,Transactions!$D$2:$D$603,"Purchase")</f>
        <v>360</v>
      </c>
      <c r="D34" s="13" t="n">
        <f aca="false">SUMIFS(Transactions!$H$2:$H$603,Transactions!$G$2:$G$603,$A34,Transactions!$D$2:$D$603,"Sale")</f>
        <v>360</v>
      </c>
      <c r="E34" s="13" t="n">
        <f aca="false">SUMIFS(Transactions!$H$2:$H$603,Transactions!$G$2:$G$603,$A34,Transactions!$D$2:$D$603,"Adjustment")</f>
        <v>0</v>
      </c>
      <c r="F34" s="13" t="n">
        <f aca="false">B34+C34-D34-E34</f>
        <v>0</v>
      </c>
      <c r="G34" s="1" t="n">
        <f aca="false">Product_Master!D34</f>
        <v>0</v>
      </c>
      <c r="H34" s="21" t="n">
        <f aca="false">IF(G34&gt;0,F34/G34,0)</f>
        <v>0</v>
      </c>
      <c r="I34" s="1" t="n">
        <f aca="false">Product_Master!E34</f>
        <v>380</v>
      </c>
      <c r="J34" s="1" t="n">
        <f aca="false">Product_Master!F34</f>
        <v>460</v>
      </c>
      <c r="K34" s="13" t="n">
        <f aca="false">IFERROR(F34*I34,0)</f>
        <v>0</v>
      </c>
      <c r="L34" s="13" t="n">
        <f aca="false">IFERROR(D34*J34,0)</f>
        <v>165600</v>
      </c>
      <c r="M34" s="1" t="n">
        <f aca="false">Product_Master!G34</f>
        <v>0</v>
      </c>
      <c r="N34" s="1" t="str">
        <f aca="false">IF(AND(M34&lt;&gt;"",F34&lt;M34),"LOW STOCK","OK")</f>
        <v>OK</v>
      </c>
    </row>
    <row r="35" customFormat="false" ht="14.25" hidden="false" customHeight="true" outlineLevel="0" collapsed="false">
      <c r="A35" s="1" t="str">
        <f aca="false">Product_Master!A35</f>
        <v>ITS</v>
      </c>
      <c r="B35" s="13" t="n">
        <f aca="false">Product_Master!C35</f>
        <v>0</v>
      </c>
      <c r="C35" s="13" t="n">
        <f aca="false">SUMIFS(Transactions!$H$2:$H$603,Transactions!$G$2:$G$603,$A35,Transactions!$D$2:$D$603,"Purchase")</f>
        <v>0</v>
      </c>
      <c r="D35" s="13" t="n">
        <f aca="false">SUMIFS(Transactions!$H$2:$H$603,Transactions!$G$2:$G$603,$A35,Transactions!$D$2:$D$603,"Sale")</f>
        <v>0</v>
      </c>
      <c r="E35" s="13" t="n">
        <f aca="false">SUMIFS(Transactions!$H$2:$H$603,Transactions!$G$2:$G$603,$A35,Transactions!$D$2:$D$603,"Adjustment")</f>
        <v>0</v>
      </c>
      <c r="F35" s="13" t="n">
        <f aca="false">B35+C35-D35-E35</f>
        <v>0</v>
      </c>
      <c r="G35" s="1" t="n">
        <f aca="false">Product_Master!D35</f>
        <v>110</v>
      </c>
      <c r="H35" s="21" t="n">
        <f aca="false">IF(G35&gt;0,F35/G35,0)</f>
        <v>0</v>
      </c>
      <c r="I35" s="1" t="n">
        <f aca="false">Product_Master!E35</f>
        <v>210</v>
      </c>
      <c r="J35" s="1" t="n">
        <f aca="false">Product_Master!F35</f>
        <v>278</v>
      </c>
      <c r="K35" s="13" t="n">
        <f aca="false">IFERROR(F35*I35,0)</f>
        <v>0</v>
      </c>
      <c r="L35" s="13" t="n">
        <f aca="false">IFERROR(D35*J35,0)</f>
        <v>0</v>
      </c>
      <c r="M35" s="1" t="n">
        <f aca="false">Product_Master!G35</f>
        <v>0</v>
      </c>
      <c r="N35" s="1" t="str">
        <f aca="false">IF(AND(M35&lt;&gt;"",F35&lt;M35),"LOW STOCK","OK")</f>
        <v>OK</v>
      </c>
    </row>
    <row r="36" customFormat="false" ht="14.25" hidden="false" customHeight="true" outlineLevel="0" collapsed="false">
      <c r="A36" s="1" t="str">
        <f aca="false">Product_Master!A36</f>
        <v>ACT E</v>
      </c>
      <c r="B36" s="13" t="n">
        <f aca="false">Product_Master!C36</f>
        <v>2131</v>
      </c>
      <c r="C36" s="13" t="n">
        <f aca="false">SUMIFS(Transactions!$H$2:$H$603,Transactions!$G$2:$G$603,$A36,Transactions!$D$2:$D$603,"Purchase")</f>
        <v>0</v>
      </c>
      <c r="D36" s="13" t="n">
        <f aca="false">SUMIFS(Transactions!$H$2:$H$603,Transactions!$G$2:$G$603,$A36,Transactions!$D$2:$D$603,"Sale")</f>
        <v>25</v>
      </c>
      <c r="E36" s="13" t="n">
        <f aca="false">SUMIFS(Transactions!$H$2:$H$603,Transactions!$G$2:$G$603,$A36,Transactions!$D$2:$D$603,"Adjustment")</f>
        <v>451</v>
      </c>
      <c r="F36" s="13" t="n">
        <f aca="false">B36+C36-D36-E36</f>
        <v>1655</v>
      </c>
      <c r="G36" s="1" t="n">
        <f aca="false">Product_Master!D36</f>
        <v>120</v>
      </c>
      <c r="H36" s="21" t="n">
        <f aca="false">IF(G36&gt;0,F36/G36,0)</f>
        <v>13.7916666666667</v>
      </c>
      <c r="I36" s="1" t="n">
        <f aca="false">Product_Master!E36</f>
        <v>74</v>
      </c>
      <c r="J36" s="1" t="n">
        <f aca="false">Product_Master!F36</f>
        <v>102</v>
      </c>
      <c r="K36" s="13" t="n">
        <f aca="false">IFERROR(F36*I36,0)</f>
        <v>122470</v>
      </c>
      <c r="L36" s="13" t="n">
        <f aca="false">IFERROR(D36*J36,0)</f>
        <v>2550</v>
      </c>
      <c r="M36" s="1" t="n">
        <f aca="false">Product_Master!G36</f>
        <v>0</v>
      </c>
      <c r="N36" s="1" t="str">
        <f aca="false">IF(AND(M36&lt;&gt;"",F36&lt;M36),"LOW STOCK","OK")</f>
        <v>OK</v>
      </c>
    </row>
    <row r="37" customFormat="false" ht="14.25" hidden="false" customHeight="true" outlineLevel="0" collapsed="false">
      <c r="A37" s="1" t="str">
        <f aca="false">Product_Master!A37</f>
        <v>SBAI</v>
      </c>
      <c r="B37" s="13" t="n">
        <f aca="false">Product_Master!C37</f>
        <v>674</v>
      </c>
      <c r="C37" s="13" t="n">
        <f aca="false">SUMIFS(Transactions!$H$2:$H$603,Transactions!$G$2:$G$603,$A37,Transactions!$D$2:$D$603,"Purchase")</f>
        <v>2500</v>
      </c>
      <c r="D37" s="13" t="n">
        <f aca="false">SUMIFS(Transactions!$H$2:$H$603,Transactions!$G$2:$G$603,$A37,Transactions!$D$2:$D$603,"Sale")</f>
        <v>1650</v>
      </c>
      <c r="E37" s="13" t="n">
        <f aca="false">SUMIFS(Transactions!$H$2:$H$603,Transactions!$G$2:$G$603,$A37,Transactions!$D$2:$D$603,"Adjustment")</f>
        <v>0</v>
      </c>
      <c r="F37" s="13" t="n">
        <f aca="false">B37+C37-D37-E37</f>
        <v>1524</v>
      </c>
      <c r="G37" s="1" t="n">
        <f aca="false">Product_Master!D37</f>
        <v>25</v>
      </c>
      <c r="H37" s="21" t="n">
        <f aca="false">IF(G37&gt;0,F37/G37,0)</f>
        <v>60.96</v>
      </c>
      <c r="I37" s="1" t="n">
        <f aca="false">Product_Master!E37</f>
        <v>115</v>
      </c>
      <c r="J37" s="1" t="n">
        <f aca="false">Product_Master!F37</f>
        <v>140</v>
      </c>
      <c r="K37" s="13" t="n">
        <f aca="false">IFERROR(F37*I37,0)</f>
        <v>175260</v>
      </c>
      <c r="L37" s="13" t="n">
        <f aca="false">IFERROR(D37*J37,0)</f>
        <v>231000</v>
      </c>
      <c r="M37" s="1" t="n">
        <f aca="false">Product_Master!G37</f>
        <v>0</v>
      </c>
      <c r="N37" s="1" t="str">
        <f aca="false">IF(AND(M37&lt;&gt;"",F37&lt;M37),"LOW STOCK","OK")</f>
        <v>OK</v>
      </c>
    </row>
    <row r="38" customFormat="false" ht="14.25" hidden="false" customHeight="true" outlineLevel="0" collapsed="false">
      <c r="A38" s="1" t="str">
        <f aca="false">Product_Master!A38</f>
        <v>FI</v>
      </c>
      <c r="B38" s="13" t="n">
        <f aca="false">Product_Master!C38</f>
        <v>945</v>
      </c>
      <c r="C38" s="13" t="n">
        <f aca="false">SUMIFS(Transactions!$H$2:$H$603,Transactions!$G$2:$G$603,$A38,Transactions!$D$2:$D$603,"Purchase")</f>
        <v>0</v>
      </c>
      <c r="D38" s="13" t="n">
        <f aca="false">SUMIFS(Transactions!$H$2:$H$603,Transactions!$G$2:$G$603,$A38,Transactions!$D$2:$D$603,"Sale")</f>
        <v>475</v>
      </c>
      <c r="E38" s="13" t="n">
        <f aca="false">SUMIFS(Transactions!$H$2:$H$603,Transactions!$G$2:$G$603,$A38,Transactions!$D$2:$D$603,"Adjustment")</f>
        <v>0</v>
      </c>
      <c r="F38" s="13" t="n">
        <f aca="false">B38+C38-D38-E38</f>
        <v>470</v>
      </c>
      <c r="G38" s="1" t="n">
        <f aca="false">Product_Master!D38</f>
        <v>25</v>
      </c>
      <c r="H38" s="21" t="n">
        <f aca="false">IF(G38&gt;0,F38/G38,0)</f>
        <v>18.8</v>
      </c>
      <c r="I38" s="1" t="n">
        <f aca="false">Product_Master!E38</f>
        <v>140</v>
      </c>
      <c r="J38" s="1" t="n">
        <f aca="false">Product_Master!F38</f>
        <v>160</v>
      </c>
      <c r="K38" s="13" t="n">
        <f aca="false">IFERROR(F38*I38,0)</f>
        <v>65800</v>
      </c>
      <c r="L38" s="13" t="n">
        <f aca="false">IFERROR(D38*J38,0)</f>
        <v>76000</v>
      </c>
      <c r="M38" s="1" t="n">
        <f aca="false">Product_Master!G38</f>
        <v>0</v>
      </c>
      <c r="N38" s="1" t="str">
        <f aca="false">IF(AND(M38&lt;&gt;"",F38&lt;M38),"LOW STOCK","OK")</f>
        <v>OK</v>
      </c>
    </row>
    <row r="39" customFormat="false" ht="14.25" hidden="false" customHeight="true" outlineLevel="0" collapsed="false">
      <c r="A39" s="1" t="str">
        <f aca="false">Product_Master!A39</f>
        <v>C5I</v>
      </c>
      <c r="B39" s="13" t="n">
        <f aca="false">Product_Master!C39</f>
        <v>108</v>
      </c>
      <c r="C39" s="13" t="n">
        <f aca="false">SUMIFS(Transactions!$H$2:$H$603,Transactions!$G$2:$G$603,$A39,Transactions!$D$2:$D$603,"Purchase")</f>
        <v>40</v>
      </c>
      <c r="D39" s="13" t="n">
        <f aca="false">SUMIFS(Transactions!$H$2:$H$603,Transactions!$G$2:$G$603,$A39,Transactions!$D$2:$D$603,"Sale")</f>
        <v>47</v>
      </c>
      <c r="E39" s="13" t="n">
        <f aca="false">SUMIFS(Transactions!$H$2:$H$603,Transactions!$G$2:$G$603,$A39,Transactions!$D$2:$D$603,"Adjustment")</f>
        <v>0</v>
      </c>
      <c r="F39" s="13" t="n">
        <f aca="false">B39+C39-D39-E39</f>
        <v>101</v>
      </c>
      <c r="G39" s="1" t="n">
        <f aca="false">Product_Master!D39</f>
        <v>20</v>
      </c>
      <c r="H39" s="21" t="n">
        <f aca="false">IF(G39&gt;0,F39/G39,0)</f>
        <v>5.05</v>
      </c>
      <c r="I39" s="1" t="n">
        <f aca="false">Product_Master!E39</f>
        <v>600</v>
      </c>
      <c r="J39" s="1" t="n">
        <f aca="false">Product_Master!F39</f>
        <v>900</v>
      </c>
      <c r="K39" s="13" t="n">
        <f aca="false">IFERROR(F39*I39,0)</f>
        <v>60600</v>
      </c>
      <c r="L39" s="13" t="n">
        <f aca="false">IFERROR(D39*J39,0)</f>
        <v>42300</v>
      </c>
      <c r="M39" s="1" t="n">
        <f aca="false">Product_Master!G39</f>
        <v>0</v>
      </c>
      <c r="N39" s="1" t="str">
        <f aca="false">IF(AND(M39&lt;&gt;"",F39&lt;M39),"LOW STOCK","OK")</f>
        <v>OK</v>
      </c>
    </row>
    <row r="40" customFormat="false" ht="14.25" hidden="false" customHeight="true" outlineLevel="0" collapsed="false">
      <c r="A40" s="1" t="str">
        <f aca="false">Product_Master!A40</f>
        <v>ALFI</v>
      </c>
      <c r="B40" s="13" t="n">
        <f aca="false">Product_Master!C40</f>
        <v>25</v>
      </c>
      <c r="C40" s="13" t="n">
        <f aca="false">SUMIFS(Transactions!$H$2:$H$603,Transactions!$G$2:$G$603,$A40,Transactions!$D$2:$D$603,"Purchase")</f>
        <v>350</v>
      </c>
      <c r="D40" s="13" t="n">
        <f aca="false">SUMIFS(Transactions!$H$2:$H$603,Transactions!$G$2:$G$603,$A40,Transactions!$D$2:$D$603,"Sale")</f>
        <v>225</v>
      </c>
      <c r="E40" s="13" t="n">
        <f aca="false">SUMIFS(Transactions!$H$2:$H$603,Transactions!$G$2:$G$603,$A40,Transactions!$D$2:$D$603,"Adjustment")</f>
        <v>0</v>
      </c>
      <c r="F40" s="13" t="n">
        <f aca="false">B40+C40-D40-E40</f>
        <v>150</v>
      </c>
      <c r="G40" s="1" t="n">
        <f aca="false">Product_Master!D40</f>
        <v>25</v>
      </c>
      <c r="H40" s="21" t="n">
        <f aca="false">IF(G40&gt;0,F40/G40,0)</f>
        <v>6</v>
      </c>
      <c r="I40" s="1" t="n">
        <f aca="false">Product_Master!E40</f>
        <v>130</v>
      </c>
      <c r="J40" s="1" t="n">
        <f aca="false">Product_Master!F40</f>
        <v>196</v>
      </c>
      <c r="K40" s="13" t="n">
        <f aca="false">IFERROR(F40*I40,0)</f>
        <v>19500</v>
      </c>
      <c r="L40" s="13" t="n">
        <f aca="false">IFERROR(D40*J40,0)</f>
        <v>44100</v>
      </c>
      <c r="M40" s="1" t="n">
        <f aca="false">Product_Master!G40</f>
        <v>0</v>
      </c>
      <c r="N40" s="1" t="str">
        <f aca="false">IF(AND(M40&lt;&gt;"",F40&lt;M40),"LOW STOCK","OK")</f>
        <v>OK</v>
      </c>
    </row>
    <row r="41" customFormat="false" ht="14.25" hidden="false" customHeight="true" outlineLevel="0" collapsed="false">
      <c r="A41" s="1" t="str">
        <f aca="false">Product_Master!A41</f>
        <v>DCD</v>
      </c>
      <c r="B41" s="13" t="n">
        <f aca="false">Product_Master!C41</f>
        <v>18</v>
      </c>
      <c r="C41" s="13" t="n">
        <f aca="false">SUMIFS(Transactions!$H$2:$H$603,Transactions!$G$2:$G$603,$A41,Transactions!$D$2:$D$603,"Purchase")</f>
        <v>0</v>
      </c>
      <c r="D41" s="13" t="n">
        <f aca="false">SUMIFS(Transactions!$H$2:$H$603,Transactions!$G$2:$G$603,$A41,Transactions!$D$2:$D$603,"Sale")</f>
        <v>0</v>
      </c>
      <c r="E41" s="13" t="n">
        <f aca="false">SUMIFS(Transactions!$H$2:$H$603,Transactions!$G$2:$G$603,$A41,Transactions!$D$2:$D$603,"Adjustment")</f>
        <v>0</v>
      </c>
      <c r="F41" s="13" t="n">
        <f aca="false">B41+C41-D41-E41</f>
        <v>18</v>
      </c>
      <c r="G41" s="1" t="n">
        <f aca="false">Product_Master!D41</f>
        <v>25</v>
      </c>
      <c r="H41" s="21" t="n">
        <f aca="false">IF(G41&gt;0,F41/G41,0)</f>
        <v>0.72</v>
      </c>
      <c r="I41" s="1" t="n">
        <f aca="false">Product_Master!E41</f>
        <v>120</v>
      </c>
      <c r="J41" s="1" t="n">
        <f aca="false">Product_Master!F41</f>
        <v>140</v>
      </c>
      <c r="K41" s="13" t="n">
        <f aca="false">IFERROR(F41*I41,0)</f>
        <v>2160</v>
      </c>
      <c r="L41" s="13" t="n">
        <f aca="false">IFERROR(D41*J41,0)</f>
        <v>0</v>
      </c>
      <c r="M41" s="1" t="n">
        <f aca="false">Product_Master!G41</f>
        <v>0</v>
      </c>
      <c r="N41" s="1" t="str">
        <f aca="false">IF(AND(M41&lt;&gt;"",F41&lt;M41),"LOW STOCK","OK")</f>
        <v>OK</v>
      </c>
    </row>
    <row r="42" customFormat="false" ht="14.25" hidden="false" customHeight="true" outlineLevel="0" collapsed="false">
      <c r="A42" s="1" t="str">
        <f aca="false">Product_Master!A42</f>
        <v>AM</v>
      </c>
      <c r="B42" s="13" t="n">
        <f aca="false">Product_Master!C42</f>
        <v>15</v>
      </c>
      <c r="C42" s="13" t="n">
        <f aca="false">SUMIFS(Transactions!$H$2:$H$603,Transactions!$G$2:$G$603,$A42,Transactions!$D$2:$D$603,"Purchase")</f>
        <v>0</v>
      </c>
      <c r="D42" s="13" t="n">
        <f aca="false">SUMIFS(Transactions!$H$2:$H$603,Transactions!$G$2:$G$603,$A42,Transactions!$D$2:$D$603,"Sale")</f>
        <v>0</v>
      </c>
      <c r="E42" s="13" t="n">
        <f aca="false">SUMIFS(Transactions!$H$2:$H$603,Transactions!$G$2:$G$603,$A42,Transactions!$D$2:$D$603,"Adjustment")</f>
        <v>0</v>
      </c>
      <c r="F42" s="13" t="n">
        <f aca="false">B42+C42-D42-E42</f>
        <v>15</v>
      </c>
      <c r="G42" s="1" t="n">
        <f aca="false">Product_Master!D42</f>
        <v>25</v>
      </c>
      <c r="H42" s="21" t="n">
        <f aca="false">IF(G42&gt;0,F42/G42,0)</f>
        <v>0.6</v>
      </c>
      <c r="I42" s="1" t="n">
        <f aca="false">Product_Master!E42</f>
        <v>115</v>
      </c>
      <c r="J42" s="1" t="n">
        <f aca="false">Product_Master!F42</f>
        <v>125</v>
      </c>
      <c r="K42" s="13" t="n">
        <f aca="false">IFERROR(F42*I42,0)</f>
        <v>1725</v>
      </c>
      <c r="L42" s="13" t="n">
        <f aca="false">IFERROR(D42*J42,0)</f>
        <v>0</v>
      </c>
      <c r="M42" s="1" t="n">
        <f aca="false">Product_Master!G42</f>
        <v>0</v>
      </c>
      <c r="N42" s="1" t="str">
        <f aca="false">IF(AND(M42&lt;&gt;"",F42&lt;M42),"LOW STOCK","OK")</f>
        <v>OK</v>
      </c>
    </row>
    <row r="43" customFormat="false" ht="14.25" hidden="false" customHeight="true" outlineLevel="0" collapsed="false">
      <c r="A43" s="1" t="str">
        <f aca="false">Product_Master!A43</f>
        <v>NHI</v>
      </c>
      <c r="B43" s="13" t="n">
        <f aca="false">Product_Master!C43</f>
        <v>150</v>
      </c>
      <c r="C43" s="13" t="n">
        <f aca="false">SUMIFS(Transactions!$H$2:$H$603,Transactions!$G$2:$G$603,$A43,Transactions!$D$2:$D$603,"Purchase")</f>
        <v>0</v>
      </c>
      <c r="D43" s="13" t="n">
        <f aca="false">SUMIFS(Transactions!$H$2:$H$603,Transactions!$G$2:$G$603,$A43,Transactions!$D$2:$D$603,"Sale")</f>
        <v>150</v>
      </c>
      <c r="E43" s="13" t="n">
        <f aca="false">SUMIFS(Transactions!$H$2:$H$603,Transactions!$G$2:$G$603,$A43,Transactions!$D$2:$D$603,"Adjustment")</f>
        <v>0</v>
      </c>
      <c r="F43" s="13" t="n">
        <f aca="false">B43+C43-D43-E43</f>
        <v>0</v>
      </c>
      <c r="G43" s="1" t="n">
        <f aca="false">Product_Master!D43</f>
        <v>25</v>
      </c>
      <c r="H43" s="21" t="n">
        <f aca="false">IF(G43&gt;0,F43/G43,0)</f>
        <v>0</v>
      </c>
      <c r="I43" s="1" t="n">
        <f aca="false">Product_Master!E43</f>
        <v>100</v>
      </c>
      <c r="J43" s="1" t="n">
        <f aca="false">Product_Master!F43</f>
        <v>120</v>
      </c>
      <c r="K43" s="13" t="n">
        <f aca="false">IFERROR(F43*I43,0)</f>
        <v>0</v>
      </c>
      <c r="L43" s="13" t="n">
        <f aca="false">IFERROR(D43*J43,0)</f>
        <v>18000</v>
      </c>
      <c r="M43" s="1" t="n">
        <f aca="false">Product_Master!G43</f>
        <v>0</v>
      </c>
      <c r="N43" s="1" t="str">
        <f aca="false">IF(AND(M43&lt;&gt;"",F43&lt;M43),"LOW STOCK","OK")</f>
        <v>OK</v>
      </c>
    </row>
    <row r="44" customFormat="false" ht="14.25" hidden="false" customHeight="true" outlineLevel="0" collapsed="false">
      <c r="A44" s="1" t="str">
        <f aca="false">Product_Master!A44</f>
        <v>NSCI</v>
      </c>
      <c r="B44" s="13" t="n">
        <f aca="false">Product_Master!C44</f>
        <v>360</v>
      </c>
      <c r="C44" s="13" t="n">
        <f aca="false">SUMIFS(Transactions!$H$2:$H$603,Transactions!$G$2:$G$603,$A44,Transactions!$D$2:$D$603,"Purchase")</f>
        <v>240</v>
      </c>
      <c r="D44" s="13" t="n">
        <f aca="false">SUMIFS(Transactions!$H$2:$H$603,Transactions!$G$2:$G$603,$A44,Transactions!$D$2:$D$603,"Sale")</f>
        <v>480</v>
      </c>
      <c r="E44" s="13" t="n">
        <f aca="false">SUMIFS(Transactions!$H$2:$H$603,Transactions!$G$2:$G$603,$A44,Transactions!$D$2:$D$603,"Adjustment")</f>
        <v>0</v>
      </c>
      <c r="F44" s="13" t="n">
        <f aca="false">B44+C44-D44-E44</f>
        <v>120</v>
      </c>
      <c r="G44" s="1" t="n">
        <f aca="false">Product_Master!D44</f>
        <v>120</v>
      </c>
      <c r="H44" s="21" t="n">
        <f aca="false">IF(G44&gt;0,F44/G44,0)</f>
        <v>1</v>
      </c>
      <c r="I44" s="1" t="n">
        <f aca="false">Product_Master!E44</f>
        <v>165</v>
      </c>
      <c r="J44" s="1" t="n">
        <f aca="false">Product_Master!F44</f>
        <v>221</v>
      </c>
      <c r="K44" s="13" t="n">
        <f aca="false">IFERROR(F44*I44,0)</f>
        <v>19800</v>
      </c>
      <c r="L44" s="13" t="n">
        <f aca="false">IFERROR(D44*J44,0)</f>
        <v>106080</v>
      </c>
      <c r="M44" s="1" t="n">
        <f aca="false">Product_Master!G44</f>
        <v>0</v>
      </c>
      <c r="N44" s="1" t="str">
        <f aca="false">IF(AND(M44&lt;&gt;"",F44&lt;M44),"LOW STOCK","OK")</f>
        <v>OK</v>
      </c>
    </row>
    <row r="45" customFormat="false" ht="14.25" hidden="false" customHeight="true" outlineLevel="0" collapsed="false">
      <c r="A45" s="1" t="str">
        <f aca="false">Product_Master!A45</f>
        <v>LA</v>
      </c>
      <c r="B45" s="13" t="n">
        <f aca="false">Product_Master!C45</f>
        <v>210</v>
      </c>
      <c r="C45" s="13" t="n">
        <f aca="false">SUMIFS(Transactions!$H$2:$H$603,Transactions!$G$2:$G$603,$A45,Transactions!$D$2:$D$603,"Purchase")</f>
        <v>0</v>
      </c>
      <c r="D45" s="13" t="n">
        <f aca="false">SUMIFS(Transactions!$H$2:$H$603,Transactions!$G$2:$G$603,$A45,Transactions!$D$2:$D$603,"Sale")</f>
        <v>0</v>
      </c>
      <c r="E45" s="13" t="n">
        <f aca="false">SUMIFS(Transactions!$H$2:$H$603,Transactions!$G$2:$G$603,$A45,Transactions!$D$2:$D$603,"Adjustment")</f>
        <v>0</v>
      </c>
      <c r="F45" s="13" t="n">
        <f aca="false">B45+C45-D45-E45</f>
        <v>210</v>
      </c>
      <c r="G45" s="1" t="n">
        <f aca="false">Product_Master!D45</f>
        <v>25</v>
      </c>
      <c r="H45" s="21" t="n">
        <f aca="false">IF(G45&gt;0,F45/G45,0)</f>
        <v>8.4</v>
      </c>
      <c r="I45" s="1" t="n">
        <f aca="false">Product_Master!E45</f>
        <v>120</v>
      </c>
      <c r="J45" s="1" t="n">
        <f aca="false">Product_Master!F45</f>
        <v>150</v>
      </c>
      <c r="K45" s="13" t="n">
        <f aca="false">IFERROR(F45*I45,0)</f>
        <v>25200</v>
      </c>
      <c r="L45" s="13" t="n">
        <f aca="false">IFERROR(D45*J45,0)</f>
        <v>0</v>
      </c>
      <c r="M45" s="1" t="n">
        <f aca="false">Product_Master!G45</f>
        <v>0</v>
      </c>
      <c r="N45" s="1" t="str">
        <f aca="false">IF(AND(M45&lt;&gt;"",F45&lt;M45),"LOW STOCK","OK")</f>
        <v>OK</v>
      </c>
    </row>
    <row r="46" customFormat="false" ht="14.25" hidden="false" customHeight="true" outlineLevel="0" collapsed="false">
      <c r="A46" s="1" t="str">
        <f aca="false">Product_Master!A46</f>
        <v>FCTI</v>
      </c>
      <c r="B46" s="13" t="n">
        <f aca="false">Product_Master!C46</f>
        <v>50</v>
      </c>
      <c r="C46" s="13" t="n">
        <f aca="false">SUMIFS(Transactions!$H$2:$H$603,Transactions!$G$2:$G$603,$A46,Transactions!$D$2:$D$603,"Purchase")</f>
        <v>0</v>
      </c>
      <c r="D46" s="13" t="n">
        <f aca="false">SUMIFS(Transactions!$H$2:$H$603,Transactions!$G$2:$G$603,$A46,Transactions!$D$2:$D$603,"Sale")</f>
        <v>0</v>
      </c>
      <c r="E46" s="13" t="n">
        <f aca="false">SUMIFS(Transactions!$H$2:$H$603,Transactions!$G$2:$G$603,$A46,Transactions!$D$2:$D$603,"Adjustment")</f>
        <v>0</v>
      </c>
      <c r="F46" s="13" t="n">
        <f aca="false">B46+C46-D46-E46</f>
        <v>50</v>
      </c>
      <c r="G46" s="1" t="n">
        <f aca="false">Product_Master!D46</f>
        <v>25</v>
      </c>
      <c r="H46" s="21" t="n">
        <f aca="false">IF(G46&gt;0,F46/G46,0)</f>
        <v>2</v>
      </c>
      <c r="I46" s="1" t="n">
        <f aca="false">Product_Master!E46</f>
        <v>130</v>
      </c>
      <c r="J46" s="1" t="n">
        <f aca="false">Product_Master!F46</f>
        <v>145</v>
      </c>
      <c r="K46" s="13" t="n">
        <f aca="false">IFERROR(F46*I46,0)</f>
        <v>6500</v>
      </c>
      <c r="L46" s="13" t="n">
        <f aca="false">IFERROR(D46*J46,0)</f>
        <v>0</v>
      </c>
      <c r="M46" s="1" t="n">
        <f aca="false">Product_Master!G46</f>
        <v>0</v>
      </c>
      <c r="N46" s="1" t="str">
        <f aca="false">IF(AND(M46&lt;&gt;"",F46&lt;M46),"LOW STOCK","OK")</f>
        <v>OK</v>
      </c>
    </row>
    <row r="47" customFormat="false" ht="14.25" hidden="false" customHeight="true" outlineLevel="0" collapsed="false">
      <c r="A47" s="1" t="str">
        <f aca="false">Product_Master!A47</f>
        <v>FCMI</v>
      </c>
      <c r="B47" s="13" t="n">
        <f aca="false">Product_Master!C47</f>
        <v>225</v>
      </c>
      <c r="C47" s="13" t="n">
        <f aca="false">SUMIFS(Transactions!$H$2:$H$603,Transactions!$G$2:$G$603,$A47,Transactions!$D$2:$D$603,"Purchase")</f>
        <v>0</v>
      </c>
      <c r="D47" s="13" t="n">
        <f aca="false">SUMIFS(Transactions!$H$2:$H$603,Transactions!$G$2:$G$603,$A47,Transactions!$D$2:$D$603,"Sale")</f>
        <v>0</v>
      </c>
      <c r="E47" s="13" t="n">
        <f aca="false">SUMIFS(Transactions!$H$2:$H$603,Transactions!$G$2:$G$603,$A47,Transactions!$D$2:$D$603,"Adjustment")</f>
        <v>0</v>
      </c>
      <c r="F47" s="13" t="n">
        <f aca="false">B47+C47-D47-E47</f>
        <v>225</v>
      </c>
      <c r="G47" s="1" t="n">
        <f aca="false">Product_Master!D47</f>
        <v>25</v>
      </c>
      <c r="H47" s="21" t="n">
        <f aca="false">IF(G47&gt;0,F47/G47,0)</f>
        <v>9</v>
      </c>
      <c r="I47" s="1" t="n">
        <f aca="false">Product_Master!E47</f>
        <v>125</v>
      </c>
      <c r="J47" s="1" t="n">
        <f aca="false">Product_Master!F47</f>
        <v>140</v>
      </c>
      <c r="K47" s="13" t="n">
        <f aca="false">IFERROR(F47*I47,0)</f>
        <v>28125</v>
      </c>
      <c r="L47" s="13" t="n">
        <f aca="false">IFERROR(D47*J47,0)</f>
        <v>0</v>
      </c>
      <c r="M47" s="1" t="n">
        <f aca="false">Product_Master!G47</f>
        <v>0</v>
      </c>
      <c r="N47" s="1" t="str">
        <f aca="false">IF(AND(M47&lt;&gt;"",F47&lt;M47),"LOW STOCK","OK")</f>
        <v>OK</v>
      </c>
    </row>
    <row r="48" customFormat="false" ht="14.25" hidden="false" customHeight="true" outlineLevel="0" collapsed="false">
      <c r="A48" s="1" t="str">
        <f aca="false">Product_Master!A48</f>
        <v>WTI</v>
      </c>
      <c r="B48" s="13" t="n">
        <f aca="false">Product_Master!C48</f>
        <v>150</v>
      </c>
      <c r="C48" s="13" t="n">
        <f aca="false">SUMIFS(Transactions!$H$2:$H$603,Transactions!$G$2:$G$603,$A48,Transactions!$D$2:$D$603,"Purchase")</f>
        <v>0</v>
      </c>
      <c r="D48" s="13" t="n">
        <f aca="false">SUMIFS(Transactions!$H$2:$H$603,Transactions!$G$2:$G$603,$A48,Transactions!$D$2:$D$603,"Sale")</f>
        <v>2</v>
      </c>
      <c r="E48" s="13" t="n">
        <f aca="false">SUMIFS(Transactions!$H$2:$H$603,Transactions!$G$2:$G$603,$A48,Transactions!$D$2:$D$603,"Adjustment")</f>
        <v>0</v>
      </c>
      <c r="F48" s="13" t="n">
        <f aca="false">B48+C48-D48-E48</f>
        <v>148</v>
      </c>
      <c r="G48" s="1" t="n">
        <f aca="false">Product_Master!D48</f>
        <v>25</v>
      </c>
      <c r="H48" s="21" t="n">
        <f aca="false">IF(G48&gt;0,F48/G48,0)</f>
        <v>5.92</v>
      </c>
      <c r="I48" s="1" t="n">
        <f aca="false">Product_Master!E48</f>
        <v>125</v>
      </c>
      <c r="J48" s="1" t="n">
        <f aca="false">Product_Master!F48</f>
        <v>157</v>
      </c>
      <c r="K48" s="13" t="n">
        <f aca="false">IFERROR(F48*I48,0)</f>
        <v>18500</v>
      </c>
      <c r="L48" s="13" t="n">
        <f aca="false">IFERROR(D48*J48,0)</f>
        <v>314</v>
      </c>
      <c r="M48" s="1" t="n">
        <f aca="false">Product_Master!G48</f>
        <v>0</v>
      </c>
      <c r="N48" s="1" t="str">
        <f aca="false">IF(AND(M48&lt;&gt;"",F48&lt;M48),"LOW STOCK","OK")</f>
        <v>OK</v>
      </c>
    </row>
    <row r="49" customFormat="false" ht="14.25" hidden="false" customHeight="true" outlineLevel="0" collapsed="false">
      <c r="A49" s="1" t="str">
        <f aca="false">Product_Master!A49</f>
        <v>FD</v>
      </c>
      <c r="B49" s="13" t="n">
        <f aca="false">Product_Master!C49</f>
        <v>225</v>
      </c>
      <c r="C49" s="13" t="n">
        <f aca="false">SUMIFS(Transactions!$H$2:$H$603,Transactions!$G$2:$G$603,$A49,Transactions!$D$2:$D$603,"Purchase")</f>
        <v>0</v>
      </c>
      <c r="D49" s="13" t="n">
        <f aca="false">SUMIFS(Transactions!$H$2:$H$603,Transactions!$G$2:$G$603,$A49,Transactions!$D$2:$D$603,"Sale")</f>
        <v>25</v>
      </c>
      <c r="E49" s="13" t="n">
        <f aca="false">SUMIFS(Transactions!$H$2:$H$603,Transactions!$G$2:$G$603,$A49,Transactions!$D$2:$D$603,"Adjustment")</f>
        <v>0</v>
      </c>
      <c r="F49" s="13" t="n">
        <f aca="false">B49+C49-D49-E49</f>
        <v>200</v>
      </c>
      <c r="G49" s="1" t="n">
        <f aca="false">Product_Master!D49</f>
        <v>25</v>
      </c>
      <c r="H49" s="21" t="n">
        <f aca="false">IF(G49&gt;0,F49/G49,0)</f>
        <v>8</v>
      </c>
      <c r="I49" s="1" t="n">
        <f aca="false">Product_Master!E49</f>
        <v>100</v>
      </c>
      <c r="J49" s="1" t="n">
        <f aca="false">Product_Master!F49</f>
        <v>120</v>
      </c>
      <c r="K49" s="13" t="n">
        <f aca="false">IFERROR(F49*I49,0)</f>
        <v>20000</v>
      </c>
      <c r="L49" s="13" t="n">
        <f aca="false">IFERROR(D49*J49,0)</f>
        <v>3000</v>
      </c>
      <c r="M49" s="1" t="n">
        <f aca="false">Product_Master!G49</f>
        <v>0</v>
      </c>
      <c r="N49" s="1" t="str">
        <f aca="false">IF(AND(M49&lt;&gt;"",F49&lt;M49),"LOW STOCK","OK")</f>
        <v>OK</v>
      </c>
    </row>
    <row r="50" customFormat="false" ht="14.25" hidden="false" customHeight="true" outlineLevel="0" collapsed="false">
      <c r="A50" s="1" t="str">
        <f aca="false">Product_Master!A50</f>
        <v>RPN</v>
      </c>
      <c r="B50" s="13" t="n">
        <f aca="false">Product_Master!C50</f>
        <v>157</v>
      </c>
      <c r="C50" s="13" t="n">
        <f aca="false">SUMIFS(Transactions!$H$2:$H$603,Transactions!$G$2:$G$603,$A50,Transactions!$D$2:$D$603,"Purchase")</f>
        <v>0</v>
      </c>
      <c r="D50" s="13" t="n">
        <f aca="false">SUMIFS(Transactions!$H$2:$H$603,Transactions!$G$2:$G$603,$A50,Transactions!$D$2:$D$603,"Sale")</f>
        <v>0</v>
      </c>
      <c r="E50" s="13" t="n">
        <f aca="false">SUMIFS(Transactions!$H$2:$H$603,Transactions!$G$2:$G$603,$A50,Transactions!$D$2:$D$603,"Adjustment")</f>
        <v>0</v>
      </c>
      <c r="F50" s="13" t="n">
        <f aca="false">B50+C50-D50-E50</f>
        <v>157</v>
      </c>
      <c r="G50" s="1" t="n">
        <f aca="false">Product_Master!D50</f>
        <v>25</v>
      </c>
      <c r="H50" s="21" t="n">
        <f aca="false">IF(G50&gt;0,F50/G50,0)</f>
        <v>6.28</v>
      </c>
      <c r="I50" s="1" t="n">
        <f aca="false">Product_Master!E50</f>
        <v>100</v>
      </c>
      <c r="J50" s="1" t="n">
        <f aca="false">Product_Master!F50</f>
        <v>120</v>
      </c>
      <c r="K50" s="13" t="n">
        <f aca="false">IFERROR(F50*I50,0)</f>
        <v>15700</v>
      </c>
      <c r="L50" s="13" t="n">
        <f aca="false">IFERROR(D50*J50,0)</f>
        <v>0</v>
      </c>
      <c r="M50" s="1" t="n">
        <f aca="false">Product_Master!G50</f>
        <v>0</v>
      </c>
      <c r="N50" s="1" t="str">
        <f aca="false">IF(AND(M50&lt;&gt;"",F50&lt;M50),"LOW STOCK","OK")</f>
        <v>OK</v>
      </c>
    </row>
    <row r="51" customFormat="false" ht="14.25" hidden="false" customHeight="true" outlineLevel="0" collapsed="false">
      <c r="A51" s="1" t="str">
        <f aca="false">Product_Master!A51</f>
        <v>OX90</v>
      </c>
      <c r="B51" s="13" t="n">
        <f aca="false">Product_Master!C51</f>
        <v>50</v>
      </c>
      <c r="C51" s="13" t="n">
        <f aca="false">SUMIFS(Transactions!$H$2:$H$603,Transactions!$G$2:$G$603,$A51,Transactions!$D$2:$D$603,"Purchase")</f>
        <v>0</v>
      </c>
      <c r="D51" s="13" t="n">
        <f aca="false">SUMIFS(Transactions!$H$2:$H$603,Transactions!$G$2:$G$603,$A51,Transactions!$D$2:$D$603,"Sale")</f>
        <v>0</v>
      </c>
      <c r="E51" s="13" t="n">
        <f aca="false">SUMIFS(Transactions!$H$2:$H$603,Transactions!$G$2:$G$603,$A51,Transactions!$D$2:$D$603,"Adjustment")</f>
        <v>0</v>
      </c>
      <c r="F51" s="13" t="n">
        <f aca="false">B51+C51-D51-E51</f>
        <v>50</v>
      </c>
      <c r="G51" s="1" t="n">
        <f aca="false">Product_Master!D51</f>
        <v>120</v>
      </c>
      <c r="H51" s="21" t="n">
        <f aca="false">IF(G51&gt;0,F51/G51,0)</f>
        <v>0.416666666666667</v>
      </c>
      <c r="I51" s="1" t="n">
        <f aca="false">Product_Master!E51</f>
        <v>250</v>
      </c>
      <c r="J51" s="1" t="n">
        <f aca="false">Product_Master!F51</f>
        <v>280</v>
      </c>
      <c r="K51" s="13" t="n">
        <f aca="false">IFERROR(F51*I51,0)</f>
        <v>12500</v>
      </c>
      <c r="L51" s="13" t="n">
        <f aca="false">IFERROR(D51*J51,0)</f>
        <v>0</v>
      </c>
      <c r="M51" s="1" t="n">
        <f aca="false">Product_Master!G51</f>
        <v>0</v>
      </c>
      <c r="N51" s="1" t="str">
        <f aca="false">IF(AND(M51&lt;&gt;"",F51&lt;M51),"LOW STOCK","OK")</f>
        <v>OK</v>
      </c>
    </row>
    <row r="52" customFormat="false" ht="14.25" hidden="false" customHeight="true" outlineLevel="0" collapsed="false">
      <c r="A52" s="1" t="str">
        <f aca="false">Product_Master!A52</f>
        <v>RP7</v>
      </c>
      <c r="B52" s="13" t="n">
        <f aca="false">Product_Master!C52</f>
        <v>72</v>
      </c>
      <c r="C52" s="13" t="n">
        <f aca="false">SUMIFS(Transactions!$H$2:$H$603,Transactions!$G$2:$G$603,$A52,Transactions!$D$2:$D$603,"Purchase")</f>
        <v>0</v>
      </c>
      <c r="D52" s="13" t="n">
        <f aca="false">SUMIFS(Transactions!$H$2:$H$603,Transactions!$G$2:$G$603,$A52,Transactions!$D$2:$D$603,"Sale")</f>
        <v>0</v>
      </c>
      <c r="E52" s="13" t="n">
        <f aca="false">SUMIFS(Transactions!$H$2:$H$603,Transactions!$G$2:$G$603,$A52,Transactions!$D$2:$D$603,"Adjustment")</f>
        <v>0</v>
      </c>
      <c r="F52" s="13" t="n">
        <f aca="false">B52+C52-D52-E52</f>
        <v>72</v>
      </c>
      <c r="G52" s="1" t="n">
        <f aca="false">Product_Master!D52</f>
        <v>25</v>
      </c>
      <c r="H52" s="21" t="n">
        <f aca="false">IF(G52&gt;0,F52/G52,0)</f>
        <v>2.88</v>
      </c>
      <c r="I52" s="1" t="n">
        <f aca="false">Product_Master!E52</f>
        <v>100</v>
      </c>
      <c r="J52" s="1" t="n">
        <f aca="false">Product_Master!F52</f>
        <v>125</v>
      </c>
      <c r="K52" s="13" t="n">
        <f aca="false">IFERROR(F52*I52,0)</f>
        <v>7200</v>
      </c>
      <c r="L52" s="13" t="n">
        <f aca="false">IFERROR(D52*J52,0)</f>
        <v>0</v>
      </c>
      <c r="M52" s="1" t="n">
        <f aca="false">Product_Master!G52</f>
        <v>0</v>
      </c>
      <c r="N52" s="1" t="str">
        <f aca="false">IF(AND(M52&lt;&gt;"",F52&lt;M52),"LOW STOCK","OK")</f>
        <v>OK</v>
      </c>
    </row>
    <row r="53" customFormat="false" ht="14.25" hidden="false" customHeight="true" outlineLevel="0" collapsed="false">
      <c r="A53" s="1" t="str">
        <f aca="false">Product_Master!A53</f>
        <v>MDI</v>
      </c>
      <c r="B53" s="13" t="n">
        <f aca="false">Product_Master!C53</f>
        <v>28</v>
      </c>
      <c r="C53" s="13" t="n">
        <f aca="false">SUMIFS(Transactions!$H$2:$H$603,Transactions!$G$2:$G$603,$A53,Transactions!$D$2:$D$603,"Purchase")</f>
        <v>0</v>
      </c>
      <c r="D53" s="13" t="n">
        <f aca="false">SUMIFS(Transactions!$H$2:$H$603,Transactions!$G$2:$G$603,$A53,Transactions!$D$2:$D$603,"Sale")</f>
        <v>0</v>
      </c>
      <c r="E53" s="13" t="n">
        <f aca="false">SUMIFS(Transactions!$H$2:$H$603,Transactions!$G$2:$G$603,$A53,Transactions!$D$2:$D$603,"Adjustment")</f>
        <v>0</v>
      </c>
      <c r="F53" s="13" t="n">
        <f aca="false">B53+C53-D53-E53</f>
        <v>28</v>
      </c>
      <c r="G53" s="1" t="n">
        <f aca="false">Product_Master!D53</f>
        <v>110</v>
      </c>
      <c r="H53" s="21" t="n">
        <f aca="false">IF(G53&gt;0,F53/G53,0)</f>
        <v>0.254545454545455</v>
      </c>
      <c r="I53" s="1" t="n">
        <f aca="false">Product_Master!E53</f>
        <v>105</v>
      </c>
      <c r="J53" s="1" t="n">
        <f aca="false">Product_Master!F53</f>
        <v>130</v>
      </c>
      <c r="K53" s="13" t="n">
        <f aca="false">IFERROR(F53*I53,0)</f>
        <v>2940</v>
      </c>
      <c r="L53" s="13" t="n">
        <f aca="false">IFERROR(D53*J53,0)</f>
        <v>0</v>
      </c>
      <c r="M53" s="1" t="n">
        <f aca="false">Product_Master!G53</f>
        <v>0</v>
      </c>
      <c r="N53" s="1" t="str">
        <f aca="false">IF(AND(M53&lt;&gt;"",F53&lt;M53),"LOW STOCK","OK")</f>
        <v>OK</v>
      </c>
    </row>
    <row r="54" customFormat="false" ht="14.25" hidden="false" customHeight="true" outlineLevel="0" collapsed="false">
      <c r="A54" s="1" t="str">
        <f aca="false">Product_Master!A54</f>
        <v>KI</v>
      </c>
      <c r="B54" s="13" t="n">
        <f aca="false">Product_Master!C54</f>
        <v>0</v>
      </c>
      <c r="C54" s="13" t="n">
        <f aca="false">SUMIFS(Transactions!$H$2:$H$603,Transactions!$G$2:$G$603,$A54,Transactions!$D$2:$D$603,"Purchase")</f>
        <v>240</v>
      </c>
      <c r="D54" s="13" t="n">
        <f aca="false">SUMIFS(Transactions!$H$2:$H$603,Transactions!$G$2:$G$603,$A54,Transactions!$D$2:$D$603,"Sale")</f>
        <v>0</v>
      </c>
      <c r="E54" s="13" t="n">
        <f aca="false">SUMIFS(Transactions!$H$2:$H$603,Transactions!$G$2:$G$603,$A54,Transactions!$D$2:$D$603,"Adjustment")</f>
        <v>0</v>
      </c>
      <c r="F54" s="13" t="n">
        <f aca="false">B54+C54-D54-E54</f>
        <v>240</v>
      </c>
      <c r="G54" s="1" t="n">
        <f aca="false">Product_Master!D54</f>
        <v>120</v>
      </c>
      <c r="H54" s="21" t="n">
        <f aca="false">IF(G54&gt;0,F54/G54,0)</f>
        <v>2</v>
      </c>
      <c r="I54" s="1" t="n">
        <f aca="false">Product_Master!E54</f>
        <v>85</v>
      </c>
      <c r="J54" s="1" t="n">
        <f aca="false">Product_Master!F54</f>
        <v>103</v>
      </c>
      <c r="K54" s="13" t="n">
        <f aca="false">IFERROR(F54*I54,0)</f>
        <v>20400</v>
      </c>
      <c r="L54" s="13" t="n">
        <f aca="false">IFERROR(D54*J54,0)</f>
        <v>0</v>
      </c>
      <c r="M54" s="1" t="n">
        <f aca="false">Product_Master!G54</f>
        <v>0</v>
      </c>
      <c r="N54" s="1" t="str">
        <f aca="false">IF(AND(M54&lt;&gt;"",F54&lt;M54),"LOW STOCK","OK")</f>
        <v>OK</v>
      </c>
    </row>
    <row r="55" customFormat="false" ht="14.25" hidden="false" customHeight="true" outlineLevel="0" collapsed="false">
      <c r="A55" s="1" t="str">
        <f aca="false">Product_Master!A55</f>
        <v>XNB 900</v>
      </c>
      <c r="B55" s="13" t="n">
        <f aca="false">Product_Master!C55</f>
        <v>220</v>
      </c>
      <c r="C55" s="13" t="n">
        <f aca="false">SUMIFS(Transactions!$H$2:$H$603,Transactions!$G$2:$G$603,$A55,Transactions!$D$2:$D$603,"Purchase")</f>
        <v>2200</v>
      </c>
      <c r="D55" s="13" t="n">
        <f aca="false">SUMIFS(Transactions!$H$2:$H$603,Transactions!$G$2:$G$603,$A55,Transactions!$D$2:$D$603,"Sale")</f>
        <v>2180</v>
      </c>
      <c r="E55" s="13" t="n">
        <f aca="false">SUMIFS(Transactions!$H$2:$H$603,Transactions!$G$2:$G$603,$A55,Transactions!$D$2:$D$603,"Adjustment")</f>
        <v>0</v>
      </c>
      <c r="F55" s="13" t="n">
        <f aca="false">B55+C55-D55-E55</f>
        <v>240</v>
      </c>
      <c r="G55" s="1" t="n">
        <f aca="false">Product_Master!D55</f>
        <v>200</v>
      </c>
      <c r="H55" s="21" t="n">
        <f aca="false">IF(G55&gt;0,F55/G55,0)</f>
        <v>1.2</v>
      </c>
      <c r="I55" s="1" t="n">
        <f aca="false">Product_Master!E55</f>
        <v>160</v>
      </c>
      <c r="J55" s="1" t="n">
        <f aca="false">Product_Master!F55</f>
        <v>270</v>
      </c>
      <c r="K55" s="13" t="n">
        <f aca="false">IFERROR(F55*I55,0)</f>
        <v>38400</v>
      </c>
      <c r="L55" s="13" t="n">
        <f aca="false">IFERROR(D55*J55,0)</f>
        <v>588600</v>
      </c>
      <c r="M55" s="1" t="n">
        <f aca="false">Product_Master!G55</f>
        <v>0</v>
      </c>
      <c r="N55" s="1" t="str">
        <f aca="false">IF(AND(M55&lt;&gt;"",F55&lt;M55),"LOW STOCK","OK")</f>
        <v>OK</v>
      </c>
    </row>
    <row r="56" customFormat="false" ht="14.25" hidden="false" customHeight="true" outlineLevel="0" collapsed="false">
      <c r="A56" s="1" t="str">
        <f aca="false">Product_Master!A56</f>
        <v>CWET</v>
      </c>
      <c r="B56" s="13" t="n">
        <f aca="false">Product_Master!C56</f>
        <v>991</v>
      </c>
      <c r="C56" s="13" t="n">
        <f aca="false">SUMIFS(Transactions!$H$2:$H$603,Transactions!$G$2:$G$603,$A56,Transactions!$D$2:$D$603,"Purchase")</f>
        <v>0</v>
      </c>
      <c r="D56" s="13" t="n">
        <f aca="false">SUMIFS(Transactions!$H$2:$H$603,Transactions!$G$2:$G$603,$A56,Transactions!$D$2:$D$603,"Sale")</f>
        <v>74</v>
      </c>
      <c r="E56" s="13" t="n">
        <f aca="false">SUMIFS(Transactions!$H$2:$H$603,Transactions!$G$2:$G$603,$A56,Transactions!$D$2:$D$603,"Adjustment")</f>
        <v>0</v>
      </c>
      <c r="F56" s="13" t="n">
        <f aca="false">B56+C56-D56-E56</f>
        <v>917</v>
      </c>
      <c r="G56" s="1" t="n">
        <f aca="false">Product_Master!D56</f>
        <v>50</v>
      </c>
      <c r="H56" s="21" t="n">
        <f aca="false">IF(G56&gt;0,F56/G56,0)</f>
        <v>18.34</v>
      </c>
      <c r="I56" s="1" t="n">
        <f aca="false">Product_Master!E56</f>
        <v>45</v>
      </c>
      <c r="J56" s="1" t="n">
        <f aca="false">Product_Master!F56</f>
        <v>245</v>
      </c>
      <c r="K56" s="13" t="n">
        <f aca="false">IFERROR(F56*I56,0)</f>
        <v>41265</v>
      </c>
      <c r="L56" s="13" t="n">
        <f aca="false">IFERROR(D56*J56,0)</f>
        <v>18130</v>
      </c>
      <c r="M56" s="1" t="n">
        <f aca="false">Product_Master!G56</f>
        <v>0</v>
      </c>
      <c r="N56" s="1" t="str">
        <f aca="false">IF(AND(M56&lt;&gt;"",F56&lt;M56),"LOW STOCK","OK")</f>
        <v>OK</v>
      </c>
    </row>
    <row r="57" customFormat="false" ht="14.25" hidden="false" customHeight="true" outlineLevel="0" collapsed="false">
      <c r="A57" s="22" t="s">
        <v>220</v>
      </c>
      <c r="B57" s="23" t="n">
        <f aca="false">SUM(B2:B56)</f>
        <v>66590.3</v>
      </c>
      <c r="C57" s="23" t="n">
        <f aca="false">SUM(C2:C56)</f>
        <v>104120</v>
      </c>
      <c r="D57" s="23" t="n">
        <f aca="false">SUM(D2:D56)</f>
        <v>97804.4</v>
      </c>
      <c r="E57" s="23" t="n">
        <f aca="false">SUM(E2:E56)</f>
        <v>162.9</v>
      </c>
      <c r="F57" s="23" t="n">
        <f aca="false">SUM(F2:F56)</f>
        <v>72743</v>
      </c>
      <c r="K57" s="23" t="n">
        <f aca="false">SUM(K2:K56)</f>
        <v>8721679</v>
      </c>
      <c r="L57" s="23" t="n">
        <f aca="false">SUM(L2:L56)</f>
        <v>13028163.6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2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11" min="8" style="1" width="20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9" min="16" style="1" width="16"/>
  </cols>
  <sheetData>
    <row r="2" customFormat="false" ht="19.5" hidden="false" customHeight="true" outlineLevel="0" collapsed="false">
      <c r="B2" s="6" t="s">
        <v>221</v>
      </c>
    </row>
    <row r="3" customFormat="false" ht="15" hidden="false" customHeight="true" outlineLevel="0" collapsed="false">
      <c r="B3" s="24" t="s">
        <v>222</v>
      </c>
    </row>
    <row r="4" customFormat="false" ht="15" hidden="false" customHeight="true" outlineLevel="0" collapsed="false">
      <c r="B4" s="10" t="s">
        <v>223</v>
      </c>
    </row>
    <row r="6" customFormat="false" ht="15.75" hidden="false" customHeight="true" outlineLevel="0" collapsed="false">
      <c r="B6" s="9" t="s">
        <v>224</v>
      </c>
    </row>
    <row r="7" customFormat="false" ht="15" hidden="false" customHeight="true" outlineLevel="0" collapsed="false">
      <c r="P7" s="10" t="s">
        <v>225</v>
      </c>
    </row>
    <row r="8" customFormat="false" ht="30" hidden="false" customHeight="true" outlineLevel="0" collapsed="false">
      <c r="B8" s="25" t="s">
        <v>27</v>
      </c>
      <c r="C8" s="25" t="s">
        <v>218</v>
      </c>
      <c r="D8" s="25" t="s">
        <v>226</v>
      </c>
      <c r="E8" s="25" t="s">
        <v>227</v>
      </c>
      <c r="F8" s="25" t="s">
        <v>228</v>
      </c>
      <c r="G8" s="25" t="s">
        <v>31</v>
      </c>
      <c r="H8" s="25" t="s">
        <v>213</v>
      </c>
      <c r="I8" s="25" t="s">
        <v>229</v>
      </c>
      <c r="J8" s="25" t="s">
        <v>230</v>
      </c>
      <c r="K8" s="25" t="s">
        <v>231</v>
      </c>
      <c r="L8" s="25" t="s">
        <v>232</v>
      </c>
      <c r="M8" s="25" t="s">
        <v>233</v>
      </c>
      <c r="N8" s="25" t="s">
        <v>234</v>
      </c>
      <c r="P8" s="11" t="s">
        <v>29</v>
      </c>
      <c r="Q8" s="11" t="s">
        <v>27</v>
      </c>
      <c r="R8" s="11" t="s">
        <v>218</v>
      </c>
      <c r="S8" s="11" t="s">
        <v>227</v>
      </c>
    </row>
    <row r="9" customFormat="false" ht="15" hidden="false" customHeight="true" outlineLevel="0" collapsed="false">
      <c r="B9" s="26" t="str">
        <f aca="false">Stock_Summary!A2</f>
        <v>KG</v>
      </c>
      <c r="C9" s="27" t="n">
        <f aca="false">Stock_Summary!L2</f>
        <v>384090</v>
      </c>
      <c r="D9" s="28" t="n">
        <f aca="false">RANK(C9,$C$9:$C$63,0)+COUNTIF($C$9:C9,C9)-1</f>
        <v>11</v>
      </c>
      <c r="E9" s="29" t="n">
        <f aca="false">SUMIFS($C$9:$C$63,$D$9:$D$63,"&lt;="&amp;D9)/SUM($C$9:$C$63)</f>
        <v>0.774847346866292</v>
      </c>
      <c r="F9" s="30" t="str">
        <f aca="false">IF(E9&lt;=0.8,"A",IF(E9&lt;=0.95,"B","C"))</f>
        <v>A</v>
      </c>
      <c r="G9" s="31" t="n">
        <f aca="false">Stock_Summary!F2</f>
        <v>3020</v>
      </c>
      <c r="H9" s="31" t="n">
        <f aca="false">Stock_Summary!D2</f>
        <v>4130</v>
      </c>
      <c r="I9" s="28" t="n">
        <f aca="false">MAX(Transactions!$B:$B)-MIN(Transactions!$B:$B)+1</f>
        <v>107</v>
      </c>
      <c r="J9" s="32" t="n">
        <f aca="false">IF(H9&gt;0,G9*I9/H9,999)</f>
        <v>78.2421307506053</v>
      </c>
      <c r="K9" s="33" t="n">
        <f aca="false">IF((G9+H9)/2&gt;0,H9/((G9+H9)/2),0)</f>
        <v>1.15524475524476</v>
      </c>
      <c r="L9" s="26" t="n">
        <f aca="false">Stock_Summary!J2-Stock_Summary!I2</f>
        <v>0</v>
      </c>
      <c r="M9" s="19" t="n">
        <f aca="false">L9*H9</f>
        <v>0</v>
      </c>
      <c r="N9" s="30" t="str">
        <f aca="false">IF(AND(H9=0,G9&gt;0),"DEAD STOCK",IF(J9&gt;180,"SLOW MOVING","OK"))</f>
        <v>OK</v>
      </c>
      <c r="P9" s="1" t="n">
        <v>1</v>
      </c>
      <c r="Q9" s="1" t="str">
        <f aca="false">INDEX($B$9:$B$63,MATCH(P9,$D$9:$D$63,0))</f>
        <v>SBL</v>
      </c>
      <c r="R9" s="12" t="n">
        <f aca="false">INDEX($C$9:$C$63,MATCH(P9,$D$9:$D$63,0))</f>
        <v>2731008</v>
      </c>
      <c r="S9" s="34" t="n">
        <f aca="false">INDEX($E$9:$E$63,MATCH(P9,$D$9:$D$63,0))</f>
        <v>0.209623403869445</v>
      </c>
    </row>
    <row r="10" customFormat="false" ht="15" hidden="false" customHeight="true" outlineLevel="0" collapsed="false">
      <c r="B10" s="26" t="str">
        <f aca="false">Stock_Summary!A3</f>
        <v>AA</v>
      </c>
      <c r="C10" s="27" t="n">
        <f aca="false">Stock_Summary!L3</f>
        <v>256520</v>
      </c>
      <c r="D10" s="28" t="n">
        <f aca="false">RANK(C10,$C$9:$C$63,0)+COUNTIF($C$9:C10,C10)-1</f>
        <v>16</v>
      </c>
      <c r="E10" s="29" t="n">
        <f aca="false">SUMIFS($C$9:$C$63,$D$9:$D$63,"&lt;="&amp;D10)/SUM($C$9:$C$63)</f>
        <v>0.879728667208324</v>
      </c>
      <c r="F10" s="30" t="str">
        <f aca="false">IF(E10&lt;=0.8,"A",IF(E10&lt;=0.95,"B","C"))</f>
        <v>B</v>
      </c>
      <c r="G10" s="31" t="n">
        <f aca="false">Stock_Summary!F3</f>
        <v>3233</v>
      </c>
      <c r="H10" s="31" t="n">
        <f aca="false">Stock_Summary!D3</f>
        <v>2420</v>
      </c>
      <c r="I10" s="28" t="n">
        <f aca="false">MAX(Transactions!$B:$B)-MIN(Transactions!$B:$B)+1</f>
        <v>107</v>
      </c>
      <c r="J10" s="32" t="n">
        <f aca="false">IF(H10&gt;0,G10*I10/H10,999)</f>
        <v>142.946694214876</v>
      </c>
      <c r="K10" s="33" t="n">
        <f aca="false">IF((G10+H10)/2&gt;0,H10/((G10+H10)/2),0)</f>
        <v>0.856182557933841</v>
      </c>
      <c r="L10" s="26" t="n">
        <f aca="false">Stock_Summary!J3-Stock_Summary!I3</f>
        <v>10</v>
      </c>
      <c r="M10" s="19" t="n">
        <f aca="false">L10*H10</f>
        <v>24200</v>
      </c>
      <c r="N10" s="30" t="str">
        <f aca="false">IF(AND(H10=0,G10&gt;0),"DEAD STOCK",IF(J10&gt;180,"SLOW MOVING","OK"))</f>
        <v>OK</v>
      </c>
      <c r="P10" s="1" t="n">
        <v>2</v>
      </c>
      <c r="Q10" s="1" t="str">
        <f aca="false">INDEX($B$9:$B$63,MATCH(P10,$D$9:$D$63,0))</f>
        <v>SNA</v>
      </c>
      <c r="R10" s="12" t="n">
        <f aca="false">INDEX($C$9:$C$63,MATCH(P10,$D$9:$D$63,0))</f>
        <v>2190696</v>
      </c>
      <c r="S10" s="34" t="n">
        <f aca="false">INDEX($E$9:$E$63,MATCH(P10,$D$9:$D$63,0))</f>
        <v>0.37777419374746</v>
      </c>
    </row>
    <row r="11" customFormat="false" ht="15" hidden="false" customHeight="true" outlineLevel="0" collapsed="false">
      <c r="B11" s="26" t="str">
        <f aca="false">Stock_Summary!A4</f>
        <v>WAK</v>
      </c>
      <c r="C11" s="27" t="n">
        <f aca="false">Stock_Summary!L4</f>
        <v>964104</v>
      </c>
      <c r="D11" s="28" t="n">
        <f aca="false">RANK(C11,$C$9:$C$63,0)+COUNTIF($C$9:C11,C11)-1</f>
        <v>3</v>
      </c>
      <c r="E11" s="29" t="n">
        <f aca="false">SUMIFS($C$9:$C$63,$D$9:$D$63,"&lt;="&amp;D11)/SUM($C$9:$C$63)</f>
        <v>0.45177572071631</v>
      </c>
      <c r="F11" s="30" t="str">
        <f aca="false">IF(E11&lt;=0.8,"A",IF(E11&lt;=0.95,"B","C"))</f>
        <v>A</v>
      </c>
      <c r="G11" s="31" t="n">
        <f aca="false">Stock_Summary!F4</f>
        <v>5461</v>
      </c>
      <c r="H11" s="31" t="n">
        <f aca="false">Stock_Summary!D4</f>
        <v>9452</v>
      </c>
      <c r="I11" s="28" t="n">
        <f aca="false">MAX(Transactions!$B:$B)-MIN(Transactions!$B:$B)+1</f>
        <v>107</v>
      </c>
      <c r="J11" s="32" t="n">
        <f aca="false">IF(H11&gt;0,G11*I11/H11,999)</f>
        <v>61.8204612780364</v>
      </c>
      <c r="K11" s="33" t="n">
        <f aca="false">IF((G11+H11)/2&gt;0,H11/((G11+H11)/2),0)</f>
        <v>1.26761885603165</v>
      </c>
      <c r="L11" s="26" t="n">
        <f aca="false">Stock_Summary!J4-Stock_Summary!I4</f>
        <v>8</v>
      </c>
      <c r="M11" s="19" t="n">
        <f aca="false">L11*H11</f>
        <v>75616</v>
      </c>
      <c r="N11" s="30" t="str">
        <f aca="false">IF(AND(H11=0,G11&gt;0),"DEAD STOCK",IF(J11&gt;180,"SLOW MOVING","OK"))</f>
        <v>OK</v>
      </c>
      <c r="P11" s="1" t="n">
        <v>3</v>
      </c>
      <c r="Q11" s="1" t="str">
        <f aca="false">INDEX($B$9:$B$63,MATCH(P11,$D$9:$D$63,0))</f>
        <v>WAK</v>
      </c>
      <c r="R11" s="12" t="n">
        <f aca="false">INDEX($C$9:$C$63,MATCH(P11,$D$9:$D$63,0))</f>
        <v>964104</v>
      </c>
      <c r="S11" s="34" t="n">
        <f aca="false">INDEX($E$9:$E$63,MATCH(P11,$D$9:$D$63,0))</f>
        <v>0.45177572071631</v>
      </c>
    </row>
    <row r="12" customFormat="false" ht="15" hidden="false" customHeight="true" outlineLevel="0" collapsed="false">
      <c r="B12" s="26" t="str">
        <f aca="false">Stock_Summary!A5</f>
        <v>SNA</v>
      </c>
      <c r="C12" s="27" t="n">
        <f aca="false">Stock_Summary!L5</f>
        <v>2190696</v>
      </c>
      <c r="D12" s="28" t="n">
        <f aca="false">RANK(C12,$C$9:$C$63,0)+COUNTIF($C$9:C12,C12)-1</f>
        <v>2</v>
      </c>
      <c r="E12" s="29" t="n">
        <f aca="false">SUMIFS($C$9:$C$63,$D$9:$D$63,"&lt;="&amp;D12)/SUM($C$9:$C$63)</f>
        <v>0.37777419374746</v>
      </c>
      <c r="F12" s="30" t="str">
        <f aca="false">IF(E12&lt;=0.8,"A",IF(E12&lt;=0.95,"B","C"))</f>
        <v>A</v>
      </c>
      <c r="G12" s="31" t="n">
        <f aca="false">Stock_Summary!F5</f>
        <v>8211</v>
      </c>
      <c r="H12" s="31" t="n">
        <f aca="false">Stock_Summary!D5</f>
        <v>19736</v>
      </c>
      <c r="I12" s="28" t="n">
        <f aca="false">MAX(Transactions!$B:$B)-MIN(Transactions!$B:$B)+1</f>
        <v>107</v>
      </c>
      <c r="J12" s="32" t="n">
        <f aca="false">IF(H12&gt;0,G12*I12/H12,999)</f>
        <v>44.5164673692744</v>
      </c>
      <c r="K12" s="33" t="n">
        <f aca="false">IF((G12+H12)/2&gt;0,H12/((G12+H12)/2),0)</f>
        <v>1.41238773392493</v>
      </c>
      <c r="L12" s="26" t="n">
        <f aca="false">Stock_Summary!J5-Stock_Summary!I5</f>
        <v>14</v>
      </c>
      <c r="M12" s="19" t="n">
        <f aca="false">L12*H12</f>
        <v>276304</v>
      </c>
      <c r="N12" s="30" t="str">
        <f aca="false">IF(AND(H12=0,G12&gt;0),"DEAD STOCK",IF(J12&gt;180,"SLOW MOVING","OK"))</f>
        <v>OK</v>
      </c>
      <c r="P12" s="1" t="n">
        <v>4</v>
      </c>
      <c r="Q12" s="1" t="str">
        <f aca="false">INDEX($B$9:$B$63,MATCH(P12,$D$9:$D$63,0))</f>
        <v>TiO2</v>
      </c>
      <c r="R12" s="12" t="n">
        <f aca="false">INDEX($C$9:$C$63,MATCH(P12,$D$9:$D$63,0))</f>
        <v>748125</v>
      </c>
      <c r="S12" s="34" t="n">
        <f aca="false">INDEX($E$9:$E$63,MATCH(P12,$D$9:$D$63,0))</f>
        <v>0.509199393228375</v>
      </c>
    </row>
    <row r="13" customFormat="false" ht="15" hidden="false" customHeight="true" outlineLevel="0" collapsed="false">
      <c r="B13" s="26" t="str">
        <f aca="false">Stock_Summary!A6</f>
        <v>SBL</v>
      </c>
      <c r="C13" s="27" t="n">
        <f aca="false">Stock_Summary!L6</f>
        <v>2731008</v>
      </c>
      <c r="D13" s="28" t="n">
        <f aca="false">RANK(C13,$C$9:$C$63,0)+COUNTIF($C$9:C13,C13)-1</f>
        <v>1</v>
      </c>
      <c r="E13" s="29" t="n">
        <f aca="false">SUMIFS($C$9:$C$63,$D$9:$D$63,"&lt;="&amp;D13)/SUM($C$9:$C$63)</f>
        <v>0.209623403869445</v>
      </c>
      <c r="F13" s="30" t="str">
        <f aca="false">IF(E13&lt;=0.8,"A",IF(E13&lt;=0.95,"B","C"))</f>
        <v>A</v>
      </c>
      <c r="G13" s="31" t="n">
        <f aca="false">Stock_Summary!F6</f>
        <v>9000</v>
      </c>
      <c r="H13" s="31" t="n">
        <f aca="false">Stock_Summary!D6</f>
        <v>24384</v>
      </c>
      <c r="I13" s="28" t="n">
        <f aca="false">MAX(Transactions!$B:$B)-MIN(Transactions!$B:$B)+1</f>
        <v>107</v>
      </c>
      <c r="J13" s="32" t="n">
        <f aca="false">IF(H13&gt;0,G13*I13/H13,999)</f>
        <v>39.4931102362205</v>
      </c>
      <c r="K13" s="33" t="n">
        <f aca="false">IF((G13+H13)/2&gt;0,H13/((G13+H13)/2),0)</f>
        <v>1.4608195542775</v>
      </c>
      <c r="L13" s="26" t="n">
        <f aca="false">Stock_Summary!J6-Stock_Summary!I6</f>
        <v>13</v>
      </c>
      <c r="M13" s="19" t="n">
        <f aca="false">L13*H13</f>
        <v>316992</v>
      </c>
      <c r="N13" s="30" t="str">
        <f aca="false">IF(AND(H13=0,G13&gt;0),"DEAD STOCK",IF(J13&gt;180,"SLOW MOVING","OK"))</f>
        <v>OK</v>
      </c>
      <c r="P13" s="1" t="n">
        <v>5</v>
      </c>
      <c r="Q13" s="1" t="str">
        <f aca="false">INDEX($B$9:$B$63,MATCH(P13,$D$9:$D$63,0))</f>
        <v>SUL</v>
      </c>
      <c r="R13" s="12" t="n">
        <f aca="false">INDEX($C$9:$C$63,MATCH(P13,$D$9:$D$63,0))</f>
        <v>593850</v>
      </c>
      <c r="S13" s="34" t="n">
        <f aca="false">INDEX($E$9:$E$63,MATCH(P13,$D$9:$D$63,0))</f>
        <v>0.554781412170784</v>
      </c>
    </row>
    <row r="14" customFormat="false" ht="15" hidden="false" customHeight="true" outlineLevel="0" collapsed="false">
      <c r="B14" s="26" t="str">
        <f aca="false">Stock_Summary!A7</f>
        <v>XAC</v>
      </c>
      <c r="C14" s="27" t="n">
        <f aca="false">Stock_Summary!L7</f>
        <v>436480</v>
      </c>
      <c r="D14" s="28" t="n">
        <f aca="false">RANK(C14,$C$9:$C$63,0)+COUNTIF($C$9:C14,C14)-1</f>
        <v>9</v>
      </c>
      <c r="E14" s="29" t="n">
        <f aca="false">SUMIFS($C$9:$C$63,$D$9:$D$63,"&lt;="&amp;D14)/SUM($C$9:$C$63)</f>
        <v>0.712538488540319</v>
      </c>
      <c r="F14" s="30" t="str">
        <f aca="false">IF(E14&lt;=0.8,"A",IF(E14&lt;=0.95,"B","C"))</f>
        <v>A</v>
      </c>
      <c r="G14" s="31" t="n">
        <f aca="false">Stock_Summary!F7</f>
        <v>1542</v>
      </c>
      <c r="H14" s="31" t="n">
        <f aca="false">Stock_Summary!D7</f>
        <v>2728</v>
      </c>
      <c r="I14" s="28" t="n">
        <f aca="false">MAX(Transactions!$B:$B)-MIN(Transactions!$B:$B)+1</f>
        <v>107</v>
      </c>
      <c r="J14" s="32" t="n">
        <f aca="false">IF(H14&gt;0,G14*I14/H14,999)</f>
        <v>60.4816715542522</v>
      </c>
      <c r="K14" s="33" t="n">
        <f aca="false">IF((G14+H14)/2&gt;0,H14/((G14+H14)/2),0)</f>
        <v>1.27775175644028</v>
      </c>
      <c r="L14" s="26" t="n">
        <f aca="false">Stock_Summary!J7-Stock_Summary!I7</f>
        <v>25</v>
      </c>
      <c r="M14" s="19" t="n">
        <f aca="false">L14*H14</f>
        <v>68200</v>
      </c>
      <c r="N14" s="30" t="str">
        <f aca="false">IF(AND(H14=0,G14&gt;0),"DEAD STOCK",IF(J14&gt;180,"SLOW MOVING","OK"))</f>
        <v>OK</v>
      </c>
      <c r="P14" s="1" t="n">
        <v>6</v>
      </c>
      <c r="Q14" s="1" t="str">
        <f aca="false">INDEX($B$9:$B$63,MATCH(P14,$D$9:$D$63,0))</f>
        <v>XNB 900</v>
      </c>
      <c r="R14" s="12" t="n">
        <f aca="false">INDEX($C$9:$C$63,MATCH(P14,$D$9:$D$63,0))</f>
        <v>588600</v>
      </c>
      <c r="S14" s="34" t="n">
        <f aca="false">INDEX($E$9:$E$63,MATCH(P14,$D$9:$D$63,0))</f>
        <v>0.599960457972757</v>
      </c>
    </row>
    <row r="15" customFormat="false" ht="15" hidden="false" customHeight="true" outlineLevel="0" collapsed="false">
      <c r="B15" s="26" t="str">
        <f aca="false">Stock_Summary!A8</f>
        <v>WFAT</v>
      </c>
      <c r="C15" s="27" t="n">
        <f aca="false">Stock_Summary!L8</f>
        <v>446580</v>
      </c>
      <c r="D15" s="28" t="n">
        <f aca="false">RANK(C15,$C$9:$C$63,0)+COUNTIF($C$9:C15,C15)-1</f>
        <v>8</v>
      </c>
      <c r="E15" s="29" t="n">
        <f aca="false">SUMIFS($C$9:$C$63,$D$9:$D$63,"&lt;="&amp;D15)/SUM($C$9:$C$63)</f>
        <v>0.679035685428451</v>
      </c>
      <c r="F15" s="30" t="str">
        <f aca="false">IF(E15&lt;=0.8,"A",IF(E15&lt;=0.95,"B","C"))</f>
        <v>A</v>
      </c>
      <c r="G15" s="31" t="n">
        <f aca="false">Stock_Summary!F8</f>
        <v>328</v>
      </c>
      <c r="H15" s="31" t="n">
        <f aca="false">Stock_Summary!D8</f>
        <v>3308</v>
      </c>
      <c r="I15" s="28" t="n">
        <f aca="false">MAX(Transactions!$B:$B)-MIN(Transactions!$B:$B)+1</f>
        <v>107</v>
      </c>
      <c r="J15" s="32" t="n">
        <f aca="false">IF(H15&gt;0,G15*I15/H15,999)</f>
        <v>10.6094316807739</v>
      </c>
      <c r="K15" s="33" t="n">
        <f aca="false">IF((G15+H15)/2&gt;0,H15/((G15+H15)/2),0)</f>
        <v>1.81958195819582</v>
      </c>
      <c r="L15" s="26" t="n">
        <f aca="false">Stock_Summary!J8-Stock_Summary!I8</f>
        <v>5</v>
      </c>
      <c r="M15" s="19" t="n">
        <f aca="false">L15*H15</f>
        <v>16540</v>
      </c>
      <c r="N15" s="30" t="str">
        <f aca="false">IF(AND(H15=0,G15&gt;0),"DEAD STOCK",IF(J15&gt;180,"SLOW MOVING","OK"))</f>
        <v>OK</v>
      </c>
      <c r="P15" s="1" t="n">
        <v>7</v>
      </c>
      <c r="Q15" s="1" t="str">
        <f aca="false">INDEX($B$9:$B$63,MATCH(P15,$D$9:$D$63,0))</f>
        <v>AW</v>
      </c>
      <c r="R15" s="12" t="n">
        <f aca="false">INDEX($C$9:$C$63,MATCH(P15,$D$9:$D$63,0))</f>
        <v>583625</v>
      </c>
      <c r="S15" s="34" t="n">
        <f aca="false">INDEX($E$9:$E$63,MATCH(P15,$D$9:$D$63,0))</f>
        <v>0.644757638751174</v>
      </c>
    </row>
    <row r="16" customFormat="false" ht="15" hidden="false" customHeight="true" outlineLevel="0" collapsed="false">
      <c r="B16" s="26" t="str">
        <f aca="false">Stock_Summary!A9</f>
        <v>SUL</v>
      </c>
      <c r="C16" s="27" t="n">
        <f aca="false">Stock_Summary!L9</f>
        <v>593850</v>
      </c>
      <c r="D16" s="28" t="n">
        <f aca="false">RANK(C16,$C$9:$C$63,0)+COUNTIF($C$9:C16,C16)-1</f>
        <v>5</v>
      </c>
      <c r="E16" s="29" t="n">
        <f aca="false">SUMIFS($C$9:$C$63,$D$9:$D$63,"&lt;="&amp;D16)/SUM($C$9:$C$63)</f>
        <v>0.554781412170784</v>
      </c>
      <c r="F16" s="30" t="str">
        <f aca="false">IF(E16&lt;=0.8,"A",IF(E16&lt;=0.95,"B","C"))</f>
        <v>A</v>
      </c>
      <c r="G16" s="31" t="n">
        <f aca="false">Stock_Summary!F9</f>
        <v>5768</v>
      </c>
      <c r="H16" s="31" t="n">
        <f aca="false">Stock_Summary!D9</f>
        <v>3210</v>
      </c>
      <c r="I16" s="28" t="n">
        <f aca="false">MAX(Transactions!$B:$B)-MIN(Transactions!$B:$B)+1</f>
        <v>107</v>
      </c>
      <c r="J16" s="32" t="n">
        <f aca="false">IF(H16&gt;0,G16*I16/H16,999)</f>
        <v>192.266666666667</v>
      </c>
      <c r="K16" s="33" t="n">
        <f aca="false">IF((G16+H16)/2&gt;0,H16/((G16+H16)/2),0)</f>
        <v>0.715081309868568</v>
      </c>
      <c r="L16" s="26" t="n">
        <f aca="false">Stock_Summary!J9-Stock_Summary!I9</f>
        <v>37</v>
      </c>
      <c r="M16" s="19" t="n">
        <f aca="false">L16*H16</f>
        <v>118770</v>
      </c>
      <c r="N16" s="30" t="str">
        <f aca="false">IF(AND(H16=0,G16&gt;0),"DEAD STOCK",IF(J16&gt;180,"SLOW MOVING","OK"))</f>
        <v>SLOW MOVING</v>
      </c>
      <c r="P16" s="1" t="n">
        <v>8</v>
      </c>
      <c r="Q16" s="1" t="str">
        <f aca="false">INDEX($B$9:$B$63,MATCH(P16,$D$9:$D$63,0))</f>
        <v>WFAT</v>
      </c>
      <c r="R16" s="12" t="n">
        <f aca="false">INDEX($C$9:$C$63,MATCH(P16,$D$9:$D$63,0))</f>
        <v>446580</v>
      </c>
      <c r="S16" s="34" t="n">
        <f aca="false">INDEX($E$9:$E$63,MATCH(P16,$D$9:$D$63,0))</f>
        <v>0.679035685428451</v>
      </c>
    </row>
    <row r="17" customFormat="false" ht="15" hidden="false" customHeight="true" outlineLevel="0" collapsed="false">
      <c r="B17" s="26" t="str">
        <f aca="false">Stock_Summary!A10</f>
        <v>KR</v>
      </c>
      <c r="C17" s="27" t="n">
        <f aca="false">Stock_Summary!L10</f>
        <v>84000</v>
      </c>
      <c r="D17" s="28" t="n">
        <f aca="false">RANK(C17,$C$9:$C$63,0)+COUNTIF($C$9:C17,C17)-1</f>
        <v>24</v>
      </c>
      <c r="E17" s="29" t="n">
        <f aca="false">SUMIFS($C$9:$C$63,$D$9:$D$63,"&lt;="&amp;D17)/SUM($C$9:$C$63)</f>
        <v>0.973454125184612</v>
      </c>
      <c r="F17" s="30" t="str">
        <f aca="false">IF(E17&lt;=0.8,"A",IF(E17&lt;=0.95,"B","C"))</f>
        <v>C</v>
      </c>
      <c r="G17" s="31" t="n">
        <f aca="false">Stock_Summary!F10</f>
        <v>32</v>
      </c>
      <c r="H17" s="31" t="n">
        <f aca="false">Stock_Summary!D10</f>
        <v>480</v>
      </c>
      <c r="I17" s="28" t="n">
        <f aca="false">MAX(Transactions!$B:$B)-MIN(Transactions!$B:$B)+1</f>
        <v>107</v>
      </c>
      <c r="J17" s="32" t="n">
        <f aca="false">IF(H17&gt;0,G17*I17/H17,999)</f>
        <v>7.13333333333333</v>
      </c>
      <c r="K17" s="33" t="n">
        <f aca="false">IF((G17+H17)/2&gt;0,H17/((G17+H17)/2),0)</f>
        <v>1.875</v>
      </c>
      <c r="L17" s="26" t="n">
        <f aca="false">Stock_Summary!J10-Stock_Summary!I10</f>
        <v>12</v>
      </c>
      <c r="M17" s="19" t="n">
        <f aca="false">L17*H17</f>
        <v>5760</v>
      </c>
      <c r="N17" s="30" t="str">
        <f aca="false">IF(AND(H17=0,G17&gt;0),"DEAD STOCK",IF(J17&gt;180,"SLOW MOVING","OK"))</f>
        <v>OK</v>
      </c>
      <c r="P17" s="1" t="n">
        <v>9</v>
      </c>
      <c r="Q17" s="1" t="str">
        <f aca="false">INDEX($B$9:$B$63,MATCH(P17,$D$9:$D$63,0))</f>
        <v>XAC</v>
      </c>
      <c r="R17" s="12" t="n">
        <f aca="false">INDEX($C$9:$C$63,MATCH(P17,$D$9:$D$63,0))</f>
        <v>436480</v>
      </c>
      <c r="S17" s="34" t="n">
        <f aca="false">INDEX($E$9:$E$63,MATCH(P17,$D$9:$D$63,0))</f>
        <v>0.712538488540319</v>
      </c>
    </row>
    <row r="18" customFormat="false" ht="15" hidden="false" customHeight="true" outlineLevel="0" collapsed="false">
      <c r="B18" s="26" t="str">
        <f aca="false">Stock_Summary!A11</f>
        <v>G1</v>
      </c>
      <c r="C18" s="27" t="n">
        <f aca="false">Stock_Summary!L11</f>
        <v>0</v>
      </c>
      <c r="D18" s="28" t="n">
        <f aca="false">RANK(C18,$C$9:$C$63,0)+COUNTIF($C$9:C18,C18)-1</f>
        <v>37</v>
      </c>
      <c r="E18" s="29" t="n">
        <f aca="false">SUMIFS($C$9:$C$63,$D$9:$D$63,"&lt;="&amp;D18)/SUM($C$9:$C$63)</f>
        <v>1</v>
      </c>
      <c r="F18" s="30" t="str">
        <f aca="false">IF(E18&lt;=0.8,"A",IF(E18&lt;=0.95,"B","C"))</f>
        <v>C</v>
      </c>
      <c r="G18" s="31" t="n">
        <f aca="false">Stock_Summary!F11</f>
        <v>500</v>
      </c>
      <c r="H18" s="31" t="n">
        <f aca="false">Stock_Summary!D11</f>
        <v>0</v>
      </c>
      <c r="I18" s="28" t="n">
        <f aca="false">MAX(Transactions!$B:$B)-MIN(Transactions!$B:$B)+1</f>
        <v>107</v>
      </c>
      <c r="J18" s="32" t="n">
        <f aca="false">IF(H18&gt;0,G18*I18/H18,999)</f>
        <v>999</v>
      </c>
      <c r="K18" s="33" t="n">
        <f aca="false">IF((G18+H18)/2&gt;0,H18/((G18+H18)/2),0)</f>
        <v>0</v>
      </c>
      <c r="L18" s="26" t="n">
        <f aca="false">Stock_Summary!J11-Stock_Summary!I11</f>
        <v>30</v>
      </c>
      <c r="M18" s="19" t="n">
        <f aca="false">L18*H18</f>
        <v>0</v>
      </c>
      <c r="N18" s="30" t="str">
        <f aca="false">IF(AND(H18=0,G18&gt;0),"DEAD STOCK",IF(J18&gt;180,"SLOW MOVING","OK"))</f>
        <v>DEAD STOCK</v>
      </c>
      <c r="P18" s="1" t="n">
        <v>10</v>
      </c>
      <c r="Q18" s="1" t="str">
        <f aca="false">INDEX($B$9:$B$63,MATCH(P18,$D$9:$D$63,0))</f>
        <v>RU</v>
      </c>
      <c r="R18" s="12" t="n">
        <f aca="false">INDEX($C$9:$C$63,MATCH(P18,$D$9:$D$63,0))</f>
        <v>427680</v>
      </c>
      <c r="S18" s="34" t="n">
        <f aca="false">INDEX($E$9:$E$63,MATCH(P18,$D$9:$D$63,0))</f>
        <v>0.745365831912028</v>
      </c>
    </row>
    <row r="19" customFormat="false" ht="15" hidden="false" customHeight="true" outlineLevel="0" collapsed="false">
      <c r="B19" s="26" t="str">
        <f aca="false">Stock_Summary!A12</f>
        <v>G2</v>
      </c>
      <c r="C19" s="27" t="n">
        <f aca="false">Stock_Summary!L12</f>
        <v>13000</v>
      </c>
      <c r="D19" s="28" t="n">
        <f aca="false">RANK(C19,$C$9:$C$63,0)+COUNTIF($C$9:C19,C19)-1</f>
        <v>33</v>
      </c>
      <c r="E19" s="29" t="n">
        <f aca="false">SUMIFS($C$9:$C$63,$D$9:$D$63,"&lt;="&amp;D19)/SUM($C$9:$C$63)</f>
        <v>0.999549898191331</v>
      </c>
      <c r="F19" s="30" t="str">
        <f aca="false">IF(E19&lt;=0.8,"A",IF(E19&lt;=0.95,"B","C"))</f>
        <v>C</v>
      </c>
      <c r="G19" s="31" t="n">
        <f aca="false">Stock_Summary!F12</f>
        <v>0</v>
      </c>
      <c r="H19" s="31" t="n">
        <f aca="false">Stock_Summary!D12</f>
        <v>100</v>
      </c>
      <c r="I19" s="28" t="n">
        <f aca="false">MAX(Transactions!$B:$B)-MIN(Transactions!$B:$B)+1</f>
        <v>107</v>
      </c>
      <c r="J19" s="32" t="n">
        <f aca="false">IF(H19&gt;0,G19*I19/H19,999)</f>
        <v>0</v>
      </c>
      <c r="K19" s="33" t="n">
        <f aca="false">IF((G19+H19)/2&gt;0,H19/((G19+H19)/2),0)</f>
        <v>2</v>
      </c>
      <c r="L19" s="26" t="n">
        <f aca="false">Stock_Summary!J12-Stock_Summary!I12</f>
        <v>35</v>
      </c>
      <c r="M19" s="19" t="n">
        <f aca="false">L19*H19</f>
        <v>3500</v>
      </c>
      <c r="N19" s="30" t="str">
        <f aca="false">IF(AND(H19=0,G19&gt;0),"DEAD STOCK",IF(J19&gt;180,"SLOW MOVING","OK"))</f>
        <v>OK</v>
      </c>
      <c r="P19" s="1" t="n">
        <v>11</v>
      </c>
      <c r="Q19" s="1" t="str">
        <f aca="false">INDEX($B$9:$B$63,MATCH(P19,$D$9:$D$63,0))</f>
        <v>KG</v>
      </c>
      <c r="R19" s="12" t="n">
        <f aca="false">INDEX($C$9:$C$63,MATCH(P19,$D$9:$D$63,0))</f>
        <v>384090</v>
      </c>
      <c r="S19" s="34" t="n">
        <f aca="false">INDEX($E$9:$E$63,MATCH(P19,$D$9:$D$63,0))</f>
        <v>0.774847346866292</v>
      </c>
    </row>
    <row r="20" customFormat="false" ht="15" hidden="false" customHeight="true" outlineLevel="0" collapsed="false">
      <c r="B20" s="26" t="str">
        <f aca="false">Stock_Summary!A13</f>
        <v>Silcoat</v>
      </c>
      <c r="C20" s="27" t="n">
        <f aca="false">Stock_Summary!L13</f>
        <v>266326</v>
      </c>
      <c r="D20" s="28" t="n">
        <f aca="false">RANK(C20,$C$9:$C$63,0)+COUNTIF($C$9:C20,C20)-1</f>
        <v>14</v>
      </c>
      <c r="E20" s="29" t="n">
        <f aca="false">SUMIFS($C$9:$C$63,$D$9:$D$63,"&lt;="&amp;D20)/SUM($C$9:$C$63)</f>
        <v>0.840301007580224</v>
      </c>
      <c r="F20" s="30" t="str">
        <f aca="false">IF(E20&lt;=0.8,"A",IF(E20&lt;=0.95,"B","C"))</f>
        <v>B</v>
      </c>
      <c r="G20" s="31" t="n">
        <f aca="false">Stock_Summary!F13</f>
        <v>447</v>
      </c>
      <c r="H20" s="31" t="n">
        <f aca="false">Stock_Summary!D13</f>
        <v>2183</v>
      </c>
      <c r="I20" s="28" t="n">
        <f aca="false">MAX(Transactions!$B:$B)-MIN(Transactions!$B:$B)+1</f>
        <v>107</v>
      </c>
      <c r="J20" s="32" t="n">
        <f aca="false">IF(H20&gt;0,G20*I20/H20,999)</f>
        <v>21.909757214842</v>
      </c>
      <c r="K20" s="33" t="n">
        <f aca="false">IF((G20+H20)/2&gt;0,H20/((G20+H20)/2),0)</f>
        <v>1.66007604562738</v>
      </c>
      <c r="L20" s="26" t="n">
        <f aca="false">Stock_Summary!J13-Stock_Summary!I13</f>
        <v>77</v>
      </c>
      <c r="M20" s="19" t="n">
        <f aca="false">L20*H20</f>
        <v>168091</v>
      </c>
      <c r="N20" s="30" t="str">
        <f aca="false">IF(AND(H20=0,G20&gt;0),"DEAD STOCK",IF(J20&gt;180,"SLOW MOVING","OK"))</f>
        <v>OK</v>
      </c>
      <c r="P20" s="1" t="n">
        <v>12</v>
      </c>
      <c r="Q20" s="1" t="str">
        <f aca="false">INDEX($B$9:$B$63,MATCH(P20,$D$9:$D$63,0))</f>
        <v>CRTI</v>
      </c>
      <c r="R20" s="12" t="n">
        <f aca="false">INDEX($C$9:$C$63,MATCH(P20,$D$9:$D$63,0))</f>
        <v>297500</v>
      </c>
      <c r="S20" s="34" t="n">
        <f aca="false">INDEX($E$9:$E$63,MATCH(P20,$D$9:$D$63,0))</f>
        <v>0.797682491490973</v>
      </c>
    </row>
    <row r="21" customFormat="false" ht="15" hidden="false" customHeight="true" outlineLevel="0" collapsed="false">
      <c r="B21" s="26" t="str">
        <f aca="false">Stock_Summary!A14</f>
        <v>TiO2</v>
      </c>
      <c r="C21" s="27" t="n">
        <f aca="false">Stock_Summary!L14</f>
        <v>748125</v>
      </c>
      <c r="D21" s="28" t="n">
        <f aca="false">RANK(C21,$C$9:$C$63,0)+COUNTIF($C$9:C21,C21)-1</f>
        <v>4</v>
      </c>
      <c r="E21" s="29" t="n">
        <f aca="false">SUMIFS($C$9:$C$63,$D$9:$D$63,"&lt;="&amp;D21)/SUM($C$9:$C$63)</f>
        <v>0.509199393228375</v>
      </c>
      <c r="F21" s="30" t="str">
        <f aca="false">IF(E21&lt;=0.8,"A",IF(E21&lt;=0.95,"B","C"))</f>
        <v>A</v>
      </c>
      <c r="G21" s="31" t="n">
        <f aca="false">Stock_Summary!F14</f>
        <v>5536</v>
      </c>
      <c r="H21" s="31" t="n">
        <f aca="false">Stock_Summary!D14</f>
        <v>3325</v>
      </c>
      <c r="I21" s="28" t="n">
        <f aca="false">MAX(Transactions!$B:$B)-MIN(Transactions!$B:$B)+1</f>
        <v>107</v>
      </c>
      <c r="J21" s="32" t="n">
        <f aca="false">IF(H21&gt;0,G21*I21/H21,999)</f>
        <v>178.150977443609</v>
      </c>
      <c r="K21" s="33" t="n">
        <f aca="false">IF((G21+H21)/2&gt;0,H21/((G21+H21)/2),0)</f>
        <v>0.750479629838619</v>
      </c>
      <c r="L21" s="26" t="n">
        <f aca="false">Stock_Summary!J14-Stock_Summary!I14</f>
        <v>50</v>
      </c>
      <c r="M21" s="19" t="n">
        <f aca="false">L21*H21</f>
        <v>166250</v>
      </c>
      <c r="N21" s="30" t="str">
        <f aca="false">IF(AND(H21=0,G21&gt;0),"DEAD STOCK",IF(J21&gt;180,"SLOW MOVING","OK"))</f>
        <v>OK</v>
      </c>
      <c r="P21" s="1" t="n">
        <v>13</v>
      </c>
      <c r="Q21" s="1" t="str">
        <f aca="false">INDEX($B$9:$B$63,MATCH(P21,$D$9:$D$63,0))</f>
        <v>DB</v>
      </c>
      <c r="R21" s="12" t="n">
        <f aca="false">INDEX($C$9:$C$63,MATCH(P21,$D$9:$D$63,0))</f>
        <v>288915</v>
      </c>
      <c r="S21" s="34" t="n">
        <f aca="false">INDEX($E$9:$E$63,MATCH(P21,$D$9:$D$63,0))</f>
        <v>0.819858679085055</v>
      </c>
    </row>
    <row r="22" customFormat="false" ht="15" hidden="false" customHeight="true" outlineLevel="0" collapsed="false">
      <c r="B22" s="26" t="str">
        <f aca="false">Stock_Summary!A15</f>
        <v>TiO2 R</v>
      </c>
      <c r="C22" s="27" t="n">
        <f aca="false">Stock_Summary!L15</f>
        <v>176391</v>
      </c>
      <c r="D22" s="28" t="n">
        <f aca="false">RANK(C22,$C$9:$C$63,0)+COUNTIF($C$9:C22,C22)-1</f>
        <v>18</v>
      </c>
      <c r="E22" s="29" t="n">
        <f aca="false">SUMIFS($C$9:$C$63,$D$9:$D$63,"&lt;="&amp;D22)/SUM($C$9:$C$63)</f>
        <v>0.910998692095024</v>
      </c>
      <c r="F22" s="30" t="str">
        <f aca="false">IF(E22&lt;=0.8,"A",IF(E22&lt;=0.95,"B","C"))</f>
        <v>B</v>
      </c>
      <c r="G22" s="31" t="n">
        <f aca="false">Stock_Summary!F15</f>
        <v>424.5</v>
      </c>
      <c r="H22" s="31" t="n">
        <f aca="false">Stock_Summary!D15</f>
        <v>625.5</v>
      </c>
      <c r="I22" s="28" t="n">
        <f aca="false">MAX(Transactions!$B:$B)-MIN(Transactions!$B:$B)+1</f>
        <v>107</v>
      </c>
      <c r="J22" s="32" t="n">
        <f aca="false">IF(H22&gt;0,G22*I22/H22,999)</f>
        <v>72.6163069544365</v>
      </c>
      <c r="K22" s="33" t="n">
        <f aca="false">IF((G22+H22)/2&gt;0,H22/((G22+H22)/2),0)</f>
        <v>1.19142857142857</v>
      </c>
      <c r="L22" s="26" t="n">
        <f aca="false">Stock_Summary!J15-Stock_Summary!I15</f>
        <v>52</v>
      </c>
      <c r="M22" s="19" t="n">
        <f aca="false">L22*H22</f>
        <v>32526</v>
      </c>
      <c r="N22" s="30" t="str">
        <f aca="false">IF(AND(H22=0,G22&gt;0),"DEAD STOCK",IF(J22&gt;180,"SLOW MOVING","OK"))</f>
        <v>OK</v>
      </c>
      <c r="P22" s="1" t="n">
        <v>14</v>
      </c>
      <c r="Q22" s="1" t="str">
        <f aca="false">INDEX($B$9:$B$63,MATCH(P22,$D$9:$D$63,0))</f>
        <v>Silcoat</v>
      </c>
      <c r="R22" s="12" t="n">
        <f aca="false">INDEX($C$9:$C$63,MATCH(P22,$D$9:$D$63,0))</f>
        <v>266326</v>
      </c>
      <c r="S22" s="34" t="n">
        <f aca="false">INDEX($E$9:$E$63,MATCH(P22,$D$9:$D$63,0))</f>
        <v>0.840301007580224</v>
      </c>
    </row>
    <row r="23" customFormat="false" ht="15" hidden="false" customHeight="true" outlineLevel="0" collapsed="false">
      <c r="B23" s="26" t="str">
        <f aca="false">Stock_Summary!A16</f>
        <v>ZnO</v>
      </c>
      <c r="C23" s="27" t="n">
        <f aca="false">Stock_Summary!L16</f>
        <v>0</v>
      </c>
      <c r="D23" s="28" t="n">
        <f aca="false">RANK(C23,$C$9:$C$63,0)+COUNTIF($C$9:C23,C23)-1</f>
        <v>38</v>
      </c>
      <c r="E23" s="29" t="n">
        <f aca="false">SUMIFS($C$9:$C$63,$D$9:$D$63,"&lt;="&amp;D23)/SUM($C$9:$C$63)</f>
        <v>1</v>
      </c>
      <c r="F23" s="30" t="str">
        <f aca="false">IF(E23&lt;=0.8,"A",IF(E23&lt;=0.95,"B","C"))</f>
        <v>C</v>
      </c>
      <c r="G23" s="31" t="n">
        <f aca="false">Stock_Summary!F16</f>
        <v>100</v>
      </c>
      <c r="H23" s="31" t="n">
        <f aca="false">Stock_Summary!D16</f>
        <v>0</v>
      </c>
      <c r="I23" s="28" t="n">
        <f aca="false">MAX(Transactions!$B:$B)-MIN(Transactions!$B:$B)+1</f>
        <v>107</v>
      </c>
      <c r="J23" s="32" t="n">
        <f aca="false">IF(H23&gt;0,G23*I23/H23,999)</f>
        <v>999</v>
      </c>
      <c r="K23" s="33" t="n">
        <f aca="false">IF((G23+H23)/2&gt;0,H23/((G23+H23)/2),0)</f>
        <v>0</v>
      </c>
      <c r="L23" s="26" t="n">
        <f aca="false">Stock_Summary!J16-Stock_Summary!I16</f>
        <v>20</v>
      </c>
      <c r="M23" s="19" t="n">
        <f aca="false">L23*H23</f>
        <v>0</v>
      </c>
      <c r="N23" s="30" t="str">
        <f aca="false">IF(AND(H23=0,G23&gt;0),"DEAD STOCK",IF(J23&gt;180,"SLOW MOVING","OK"))</f>
        <v>DEAD STOCK</v>
      </c>
      <c r="P23" s="1" t="n">
        <v>15</v>
      </c>
      <c r="Q23" s="1" t="str">
        <f aca="false">INDEX($B$9:$B$63,MATCH(P23,$D$9:$D$63,0))</f>
        <v>NSA</v>
      </c>
      <c r="R23" s="12" t="n">
        <f aca="false">INDEX($C$9:$C$63,MATCH(P23,$D$9:$D$63,0))</f>
        <v>257150</v>
      </c>
      <c r="S23" s="34" t="n">
        <f aca="false">INDEX($E$9:$E$63,MATCH(P23,$D$9:$D$63,0))</f>
        <v>0.8600390157827</v>
      </c>
    </row>
    <row r="24" customFormat="false" ht="15" hidden="false" customHeight="true" outlineLevel="0" collapsed="false">
      <c r="B24" s="26" t="str">
        <f aca="false">Stock_Summary!A17</f>
        <v>CRTI</v>
      </c>
      <c r="C24" s="27" t="n">
        <f aca="false">Stock_Summary!L17</f>
        <v>297500</v>
      </c>
      <c r="D24" s="28" t="n">
        <f aca="false">RANK(C24,$C$9:$C$63,0)+COUNTIF($C$9:C24,C24)-1</f>
        <v>12</v>
      </c>
      <c r="E24" s="29" t="n">
        <f aca="false">SUMIFS($C$9:$C$63,$D$9:$D$63,"&lt;="&amp;D24)/SUM($C$9:$C$63)</f>
        <v>0.797682491490973</v>
      </c>
      <c r="F24" s="30" t="str">
        <f aca="false">IF(E24&lt;=0.8,"A",IF(E24&lt;=0.95,"B","C"))</f>
        <v>A</v>
      </c>
      <c r="G24" s="31" t="n">
        <f aca="false">Stock_Summary!F17</f>
        <v>3025</v>
      </c>
      <c r="H24" s="31" t="n">
        <f aca="false">Stock_Summary!D17</f>
        <v>3500</v>
      </c>
      <c r="I24" s="28" t="n">
        <f aca="false">MAX(Transactions!$B:$B)-MIN(Transactions!$B:$B)+1</f>
        <v>107</v>
      </c>
      <c r="J24" s="32" t="n">
        <f aca="false">IF(H24&gt;0,G24*I24/H24,999)</f>
        <v>92.4785714285714</v>
      </c>
      <c r="K24" s="33" t="n">
        <f aca="false">IF((G24+H24)/2&gt;0,H24/((G24+H24)/2),0)</f>
        <v>1.0727969348659</v>
      </c>
      <c r="L24" s="26" t="n">
        <f aca="false">Stock_Summary!J17-Stock_Summary!I17</f>
        <v>23</v>
      </c>
      <c r="M24" s="19" t="n">
        <f aca="false">L24*H24</f>
        <v>80500</v>
      </c>
      <c r="N24" s="30" t="str">
        <f aca="false">IF(AND(H24=0,G24&gt;0),"DEAD STOCK",IF(J24&gt;180,"SLOW MOVING","OK"))</f>
        <v>OK</v>
      </c>
      <c r="P24" s="1" t="n">
        <v>16</v>
      </c>
      <c r="Q24" s="1" t="str">
        <f aca="false">INDEX($B$9:$B$63,MATCH(P24,$D$9:$D$63,0))</f>
        <v>AA</v>
      </c>
      <c r="R24" s="12" t="n">
        <f aca="false">INDEX($C$9:$C$63,MATCH(P24,$D$9:$D$63,0))</f>
        <v>256520</v>
      </c>
      <c r="S24" s="34" t="n">
        <f aca="false">INDEX($E$9:$E$63,MATCH(P24,$D$9:$D$63,0))</f>
        <v>0.879728667208324</v>
      </c>
    </row>
    <row r="25" customFormat="false" ht="15" hidden="false" customHeight="true" outlineLevel="0" collapsed="false">
      <c r="B25" s="26" t="str">
        <f aca="false">Stock_Summary!A18</f>
        <v>ACT.A</v>
      </c>
      <c r="C25" s="27" t="n">
        <f aca="false">Stock_Summary!L18</f>
        <v>31000</v>
      </c>
      <c r="D25" s="28" t="n">
        <f aca="false">RANK(C25,$C$9:$C$63,0)+COUNTIF($C$9:C25,C25)-1</f>
        <v>29</v>
      </c>
      <c r="E25" s="29" t="n">
        <f aca="false">SUMIFS($C$9:$C$63,$D$9:$D$63,"&lt;="&amp;D25)/SUM($C$9:$C$63)</f>
        <v>0.993859917448381</v>
      </c>
      <c r="F25" s="30" t="str">
        <f aca="false">IF(E25&lt;=0.8,"A",IF(E25&lt;=0.95,"B","C"))</f>
        <v>C</v>
      </c>
      <c r="G25" s="31" t="n">
        <f aca="false">Stock_Summary!F18</f>
        <v>5049</v>
      </c>
      <c r="H25" s="31" t="n">
        <f aca="false">Stock_Summary!D18</f>
        <v>200</v>
      </c>
      <c r="I25" s="28" t="n">
        <f aca="false">MAX(Transactions!$B:$B)-MIN(Transactions!$B:$B)+1</f>
        <v>107</v>
      </c>
      <c r="J25" s="32" t="n">
        <f aca="false">IF(H25&gt;0,G25*I25/H25,999)</f>
        <v>2701.215</v>
      </c>
      <c r="K25" s="33" t="n">
        <f aca="false">IF((G25+H25)/2&gt;0,H25/((G25+H25)/2),0)</f>
        <v>0.0762049914269385</v>
      </c>
      <c r="L25" s="26" t="n">
        <f aca="false">Stock_Summary!J18-Stock_Summary!I18</f>
        <v>31</v>
      </c>
      <c r="M25" s="19" t="n">
        <f aca="false">L25*H25</f>
        <v>6200</v>
      </c>
      <c r="N25" s="30" t="str">
        <f aca="false">IF(AND(H25=0,G25&gt;0),"DEAD STOCK",IF(J25&gt;180,"SLOW MOVING","OK"))</f>
        <v>SLOW MOVING</v>
      </c>
      <c r="P25" s="1" t="n">
        <v>17</v>
      </c>
      <c r="Q25" s="1" t="str">
        <f aca="false">INDEX($B$9:$B$63,MATCH(P25,$D$9:$D$63,0))</f>
        <v>SBAI</v>
      </c>
      <c r="R25" s="12" t="n">
        <f aca="false">INDEX($C$9:$C$63,MATCH(P25,$D$9:$D$63,0))</f>
        <v>231000</v>
      </c>
      <c r="S25" s="34" t="n">
        <f aca="false">INDEX($E$9:$E$63,MATCH(P25,$D$9:$D$63,0))</f>
        <v>0.897459485387488</v>
      </c>
    </row>
    <row r="26" customFormat="false" ht="15" hidden="false" customHeight="true" outlineLevel="0" collapsed="false">
      <c r="B26" s="26" t="str">
        <f aca="false">Stock_Summary!A19</f>
        <v>Act. Conc</v>
      </c>
      <c r="C26" s="27" t="n">
        <f aca="false">Stock_Summary!L19</f>
        <v>166500</v>
      </c>
      <c r="D26" s="28" t="n">
        <f aca="false">RANK(C26,$C$9:$C$63,0)+COUNTIF($C$9:C26,C26)-1</f>
        <v>19</v>
      </c>
      <c r="E26" s="29" t="n">
        <f aca="false">SUMIFS($C$9:$C$63,$D$9:$D$63,"&lt;="&amp;D26)/SUM($C$9:$C$63)</f>
        <v>0.92377869740598</v>
      </c>
      <c r="F26" s="30" t="str">
        <f aca="false">IF(E26&lt;=0.8,"A",IF(E26&lt;=0.95,"B","C"))</f>
        <v>B</v>
      </c>
      <c r="G26" s="31" t="n">
        <f aca="false">Stock_Summary!F19</f>
        <v>1076</v>
      </c>
      <c r="H26" s="31" t="n">
        <f aca="false">Stock_Summary!D19</f>
        <v>925</v>
      </c>
      <c r="I26" s="28" t="n">
        <f aca="false">MAX(Transactions!$B:$B)-MIN(Transactions!$B:$B)+1</f>
        <v>107</v>
      </c>
      <c r="J26" s="32" t="n">
        <f aca="false">IF(H26&gt;0,G26*I26/H26,999)</f>
        <v>124.467027027027</v>
      </c>
      <c r="K26" s="33" t="n">
        <f aca="false">IF((G26+H26)/2&gt;0,H26/((G26+H26)/2),0)</f>
        <v>0.924537731134433</v>
      </c>
      <c r="L26" s="26" t="n">
        <f aca="false">Stock_Summary!J19-Stock_Summary!I19</f>
        <v>41</v>
      </c>
      <c r="M26" s="19" t="n">
        <f aca="false">L26*H26</f>
        <v>37925</v>
      </c>
      <c r="N26" s="30" t="str">
        <f aca="false">IF(AND(H26=0,G26&gt;0),"DEAD STOCK",IF(J26&gt;180,"SLOW MOVING","OK"))</f>
        <v>OK</v>
      </c>
      <c r="P26" s="1" t="n">
        <v>18</v>
      </c>
      <c r="Q26" s="1" t="str">
        <f aca="false">INDEX($B$9:$B$63,MATCH(P26,$D$9:$D$63,0))</f>
        <v>TiO2 R</v>
      </c>
      <c r="R26" s="12" t="n">
        <f aca="false">INDEX($C$9:$C$63,MATCH(P26,$D$9:$D$63,0))</f>
        <v>176391</v>
      </c>
      <c r="S26" s="34" t="n">
        <f aca="false">INDEX($E$9:$E$63,MATCH(P26,$D$9:$D$63,0))</f>
        <v>0.910998692095024</v>
      </c>
    </row>
    <row r="27" customFormat="false" ht="15" hidden="false" customHeight="true" outlineLevel="0" collapsed="false">
      <c r="B27" s="26" t="str">
        <f aca="false">Stock_Summary!A20</f>
        <v>DB</v>
      </c>
      <c r="C27" s="27" t="n">
        <f aca="false">Stock_Summary!L20</f>
        <v>288915</v>
      </c>
      <c r="D27" s="28" t="n">
        <f aca="false">RANK(C27,$C$9:$C$63,0)+COUNTIF($C$9:C27,C27)-1</f>
        <v>13</v>
      </c>
      <c r="E27" s="29" t="n">
        <f aca="false">SUMIFS($C$9:$C$63,$D$9:$D$63,"&lt;="&amp;D27)/SUM($C$9:$C$63)</f>
        <v>0.819858679085055</v>
      </c>
      <c r="F27" s="30" t="str">
        <f aca="false">IF(E27&lt;=0.8,"A",IF(E27&lt;=0.95,"B","C"))</f>
        <v>B</v>
      </c>
      <c r="G27" s="31" t="n">
        <f aca="false">Stock_Summary!F20</f>
        <v>1440</v>
      </c>
      <c r="H27" s="31" t="n">
        <f aca="false">Stock_Summary!D20</f>
        <v>2805</v>
      </c>
      <c r="I27" s="28" t="n">
        <f aca="false">MAX(Transactions!$B:$B)-MIN(Transactions!$B:$B)+1</f>
        <v>107</v>
      </c>
      <c r="J27" s="32" t="n">
        <f aca="false">IF(H27&gt;0,G27*I27/H27,999)</f>
        <v>54.9304812834225</v>
      </c>
      <c r="K27" s="33" t="n">
        <f aca="false">IF((G27+H27)/2&gt;0,H27/((G27+H27)/2),0)</f>
        <v>1.32155477031802</v>
      </c>
      <c r="L27" s="26" t="n">
        <f aca="false">Stock_Summary!J20-Stock_Summary!I20</f>
        <v>17</v>
      </c>
      <c r="M27" s="19" t="n">
        <f aca="false">L27*H27</f>
        <v>47685</v>
      </c>
      <c r="N27" s="30" t="str">
        <f aca="false">IF(AND(H27=0,G27&gt;0),"DEAD STOCK",IF(J27&gt;180,"SLOW MOVING","OK"))</f>
        <v>OK</v>
      </c>
      <c r="P27" s="1" t="n">
        <v>19</v>
      </c>
      <c r="Q27" s="1" t="str">
        <f aca="false">INDEX($B$9:$B$63,MATCH(P27,$D$9:$D$63,0))</f>
        <v>Act. Conc</v>
      </c>
      <c r="R27" s="12" t="n">
        <f aca="false">INDEX($C$9:$C$63,MATCH(P27,$D$9:$D$63,0))</f>
        <v>166500</v>
      </c>
      <c r="S27" s="34" t="n">
        <f aca="false">INDEX($E$9:$E$63,MATCH(P27,$D$9:$D$63,0))</f>
        <v>0.92377869740598</v>
      </c>
    </row>
    <row r="28" customFormat="false" ht="15" hidden="false" customHeight="true" outlineLevel="0" collapsed="false">
      <c r="B28" s="26" t="str">
        <f aca="false">Stock_Summary!A21</f>
        <v>RM</v>
      </c>
      <c r="C28" s="27" t="n">
        <f aca="false">Stock_Summary!L21</f>
        <v>72450</v>
      </c>
      <c r="D28" s="28" t="n">
        <f aca="false">RANK(C28,$C$9:$C$63,0)+COUNTIF($C$9:C28,C28)-1</f>
        <v>26</v>
      </c>
      <c r="E28" s="29" t="n">
        <f aca="false">SUMIFS($C$9:$C$63,$D$9:$D$63,"&lt;="&amp;D28)/SUM($C$9:$C$63)</f>
        <v>0.984848670460356</v>
      </c>
      <c r="F28" s="30" t="str">
        <f aca="false">IF(E28&lt;=0.8,"A",IF(E28&lt;=0.95,"B","C"))</f>
        <v>C</v>
      </c>
      <c r="G28" s="31" t="n">
        <f aca="false">Stock_Summary!F21</f>
        <v>2305</v>
      </c>
      <c r="H28" s="31" t="n">
        <f aca="false">Stock_Summary!D21</f>
        <v>575</v>
      </c>
      <c r="I28" s="28" t="n">
        <f aca="false">MAX(Transactions!$B:$B)-MIN(Transactions!$B:$B)+1</f>
        <v>107</v>
      </c>
      <c r="J28" s="32" t="n">
        <f aca="false">IF(H28&gt;0,G28*I28/H28,999)</f>
        <v>428.930434782609</v>
      </c>
      <c r="K28" s="33" t="n">
        <f aca="false">IF((G28+H28)/2&gt;0,H28/((G28+H28)/2),0)</f>
        <v>0.399305555555556</v>
      </c>
      <c r="L28" s="26" t="n">
        <f aca="false">Stock_Summary!J21-Stock_Summary!I21</f>
        <v>3</v>
      </c>
      <c r="M28" s="19" t="n">
        <f aca="false">L28*H28</f>
        <v>1725</v>
      </c>
      <c r="N28" s="30" t="str">
        <f aca="false">IF(AND(H28=0,G28&gt;0),"DEAD STOCK",IF(J28&gt;180,"SLOW MOVING","OK"))</f>
        <v>SLOW MOVING</v>
      </c>
      <c r="P28" s="1" t="n">
        <v>20</v>
      </c>
      <c r="Q28" s="1" t="str">
        <f aca="false">INDEX($B$9:$B$63,MATCH(P28,$D$9:$D$63,0))</f>
        <v>DLPS</v>
      </c>
      <c r="R28" s="12" t="n">
        <f aca="false">INDEX($C$9:$C$63,MATCH(P28,$D$9:$D$63,0))</f>
        <v>165600</v>
      </c>
      <c r="S28" s="34" t="n">
        <f aca="false">INDEX($E$9:$E$63,MATCH(P28,$D$9:$D$63,0))</f>
        <v>0.936489621607147</v>
      </c>
    </row>
    <row r="29" customFormat="false" ht="15" hidden="false" customHeight="true" outlineLevel="0" collapsed="false">
      <c r="B29" s="26" t="str">
        <f aca="false">Stock_Summary!A22</f>
        <v>AW</v>
      </c>
      <c r="C29" s="27" t="n">
        <f aca="false">Stock_Summary!L22</f>
        <v>583625</v>
      </c>
      <c r="D29" s="28" t="n">
        <f aca="false">RANK(C29,$C$9:$C$63,0)+COUNTIF($C$9:C29,C29)-1</f>
        <v>7</v>
      </c>
      <c r="E29" s="29" t="n">
        <f aca="false">SUMIFS($C$9:$C$63,$D$9:$D$63,"&lt;="&amp;D29)/SUM($C$9:$C$63)</f>
        <v>0.644757638751174</v>
      </c>
      <c r="F29" s="30" t="str">
        <f aca="false">IF(E29&lt;=0.8,"A",IF(E29&lt;=0.95,"B","C"))</f>
        <v>A</v>
      </c>
      <c r="G29" s="31" t="n">
        <f aca="false">Stock_Summary!F22</f>
        <v>2750</v>
      </c>
      <c r="H29" s="31" t="n">
        <f aca="false">Stock_Summary!D22</f>
        <v>2875</v>
      </c>
      <c r="I29" s="28" t="n">
        <f aca="false">MAX(Transactions!$B:$B)-MIN(Transactions!$B:$B)+1</f>
        <v>107</v>
      </c>
      <c r="J29" s="32" t="n">
        <f aca="false">IF(H29&gt;0,G29*I29/H29,999)</f>
        <v>102.347826086957</v>
      </c>
      <c r="K29" s="33" t="n">
        <f aca="false">IF((G29+H29)/2&gt;0,H29/((G29+H29)/2),0)</f>
        <v>1.02222222222222</v>
      </c>
      <c r="L29" s="26" t="n">
        <f aca="false">Stock_Summary!J22-Stock_Summary!I22</f>
        <v>-7</v>
      </c>
      <c r="M29" s="19" t="n">
        <f aca="false">L29*H29</f>
        <v>-20125</v>
      </c>
      <c r="N29" s="30" t="str">
        <f aca="false">IF(AND(H29=0,G29&gt;0),"DEAD STOCK",IF(J29&gt;180,"SLOW MOVING","OK"))</f>
        <v>OK</v>
      </c>
      <c r="P29" s="1" t="n">
        <v>21</v>
      </c>
      <c r="Q29" s="1" t="str">
        <f aca="false">INDEX($B$9:$B$63,MATCH(P29,$D$9:$D$63,0))</f>
        <v>ECO 6</v>
      </c>
      <c r="R29" s="12" t="n">
        <f aca="false">INDEX($C$9:$C$63,MATCH(P29,$D$9:$D$63,0))</f>
        <v>165000</v>
      </c>
      <c r="S29" s="34" t="n">
        <f aca="false">INDEX($E$9:$E$63,MATCH(P29,$D$9:$D$63,0))</f>
        <v>0.949154491735121</v>
      </c>
    </row>
    <row r="30" customFormat="false" ht="15" hidden="false" customHeight="true" outlineLevel="0" collapsed="false">
      <c r="B30" s="26" t="str">
        <f aca="false">Stock_Summary!A23</f>
        <v>NSA</v>
      </c>
      <c r="C30" s="27" t="n">
        <f aca="false">Stock_Summary!L23</f>
        <v>257150</v>
      </c>
      <c r="D30" s="28" t="n">
        <f aca="false">RANK(C30,$C$9:$C$63,0)+COUNTIF($C$9:C30,C30)-1</f>
        <v>15</v>
      </c>
      <c r="E30" s="29" t="n">
        <f aca="false">SUMIFS($C$9:$C$63,$D$9:$D$63,"&lt;="&amp;D30)/SUM($C$9:$C$63)</f>
        <v>0.8600390157827</v>
      </c>
      <c r="F30" s="30" t="str">
        <f aca="false">IF(E30&lt;=0.8,"A",IF(E30&lt;=0.95,"B","C"))</f>
        <v>B</v>
      </c>
      <c r="G30" s="31" t="n">
        <f aca="false">Stock_Summary!F23</f>
        <v>1072.5</v>
      </c>
      <c r="H30" s="31" t="n">
        <f aca="false">Stock_Summary!D23</f>
        <v>1737.5</v>
      </c>
      <c r="I30" s="28" t="n">
        <f aca="false">MAX(Transactions!$B:$B)-MIN(Transactions!$B:$B)+1</f>
        <v>107</v>
      </c>
      <c r="J30" s="32" t="n">
        <f aca="false">IF(H30&gt;0,G30*I30/H30,999)</f>
        <v>66.0474820143885</v>
      </c>
      <c r="K30" s="33" t="n">
        <f aca="false">IF((G30+H30)/2&gt;0,H30/((G30+H30)/2),0)</f>
        <v>1.23665480427046</v>
      </c>
      <c r="L30" s="26" t="n">
        <f aca="false">Stock_Summary!J23-Stock_Summary!I23</f>
        <v>0</v>
      </c>
      <c r="M30" s="19" t="n">
        <f aca="false">L30*H30</f>
        <v>0</v>
      </c>
      <c r="N30" s="30" t="str">
        <f aca="false">IF(AND(H30=0,G30&gt;0),"DEAD STOCK",IF(J30&gt;180,"SLOW MOVING","OK"))</f>
        <v>OK</v>
      </c>
      <c r="P30" s="1" t="n">
        <v>22</v>
      </c>
      <c r="Q30" s="1" t="str">
        <f aca="false">INDEX($B$9:$B$63,MATCH(P30,$D$9:$D$63,0))</f>
        <v>OIT 9</v>
      </c>
      <c r="R30" s="12" t="n">
        <f aca="false">INDEX($C$9:$C$63,MATCH(P30,$D$9:$D$63,0))</f>
        <v>126499.6</v>
      </c>
      <c r="S30" s="34" t="n">
        <f aca="false">INDEX($E$9:$E$63,MATCH(P30,$D$9:$D$63,0))</f>
        <v>0.958864194797185</v>
      </c>
    </row>
    <row r="31" customFormat="false" ht="15" hidden="false" customHeight="true" outlineLevel="0" collapsed="false">
      <c r="B31" s="26" t="str">
        <f aca="false">Stock_Summary!A24</f>
        <v>RU</v>
      </c>
      <c r="C31" s="27" t="n">
        <f aca="false">Stock_Summary!L24</f>
        <v>427680</v>
      </c>
      <c r="D31" s="28" t="n">
        <f aca="false">RANK(C31,$C$9:$C$63,0)+COUNTIF($C$9:C31,C31)-1</f>
        <v>10</v>
      </c>
      <c r="E31" s="29" t="n">
        <f aca="false">SUMIFS($C$9:$C$63,$D$9:$D$63,"&lt;="&amp;D31)/SUM($C$9:$C$63)</f>
        <v>0.745365831912028</v>
      </c>
      <c r="F31" s="30" t="str">
        <f aca="false">IF(E31&lt;=0.8,"A",IF(E31&lt;=0.95,"B","C"))</f>
        <v>A</v>
      </c>
      <c r="G31" s="31" t="n">
        <f aca="false">Stock_Summary!F24</f>
        <v>2642</v>
      </c>
      <c r="H31" s="31" t="n">
        <f aca="false">Stock_Summary!D24</f>
        <v>2160</v>
      </c>
      <c r="I31" s="28" t="n">
        <f aca="false">MAX(Transactions!$B:$B)-MIN(Transactions!$B:$B)+1</f>
        <v>107</v>
      </c>
      <c r="J31" s="32" t="n">
        <f aca="false">IF(H31&gt;0,G31*I31/H31,999)</f>
        <v>130.876851851852</v>
      </c>
      <c r="K31" s="33" t="n">
        <f aca="false">IF((G31+H31)/2&gt;0,H31/((G31+H31)/2),0)</f>
        <v>0.899625156184923</v>
      </c>
      <c r="L31" s="26" t="n">
        <f aca="false">Stock_Summary!J24-Stock_Summary!I24</f>
        <v>22</v>
      </c>
      <c r="M31" s="19" t="n">
        <f aca="false">L31*H31</f>
        <v>47520</v>
      </c>
      <c r="N31" s="30" t="str">
        <f aca="false">IF(AND(H31=0,G31&gt;0),"DEAD STOCK",IF(J31&gt;180,"SLOW MOVING","OK"))</f>
        <v>OK</v>
      </c>
      <c r="P31" s="1" t="n">
        <v>23</v>
      </c>
      <c r="Q31" s="1" t="str">
        <f aca="false">INDEX($B$9:$B$63,MATCH(P31,$D$9:$D$63,0))</f>
        <v>NSCI</v>
      </c>
      <c r="R31" s="12" t="n">
        <f aca="false">INDEX($C$9:$C$63,MATCH(P31,$D$9:$D$63,0))</f>
        <v>106080</v>
      </c>
      <c r="S31" s="34" t="n">
        <f aca="false">INDEX($E$9:$E$63,MATCH(P31,$D$9:$D$63,0))</f>
        <v>0.967006554937643</v>
      </c>
    </row>
    <row r="32" customFormat="false" ht="15" hidden="false" customHeight="true" outlineLevel="0" collapsed="false">
      <c r="B32" s="26" t="str">
        <f aca="false">Stock_Summary!A25</f>
        <v>OIT 9</v>
      </c>
      <c r="C32" s="27" t="n">
        <f aca="false">Stock_Summary!L25</f>
        <v>126499.6</v>
      </c>
      <c r="D32" s="28" t="n">
        <f aca="false">RANK(C32,$C$9:$C$63,0)+COUNTIF($C$9:C32,C32)-1</f>
        <v>22</v>
      </c>
      <c r="E32" s="29" t="n">
        <f aca="false">SUMIFS($C$9:$C$63,$D$9:$D$63,"&lt;="&amp;D32)/SUM($C$9:$C$63)</f>
        <v>0.958864194797185</v>
      </c>
      <c r="F32" s="30" t="str">
        <f aca="false">IF(E32&lt;=0.8,"A",IF(E32&lt;=0.95,"B","C"))</f>
        <v>C</v>
      </c>
      <c r="G32" s="31" t="n">
        <f aca="false">Stock_Summary!F25</f>
        <v>300</v>
      </c>
      <c r="H32" s="31" t="n">
        <f aca="false">Stock_Summary!D25</f>
        <v>552.4</v>
      </c>
      <c r="I32" s="28" t="n">
        <f aca="false">MAX(Transactions!$B:$B)-MIN(Transactions!$B:$B)+1</f>
        <v>107</v>
      </c>
      <c r="J32" s="32" t="n">
        <f aca="false">IF(H32&gt;0,G32*I32/H32,999)</f>
        <v>58.1100651701666</v>
      </c>
      <c r="K32" s="33" t="n">
        <f aca="false">IF((G32+H32)/2&gt;0,H32/((G32+H32)/2),0)</f>
        <v>1.2961051149695</v>
      </c>
      <c r="L32" s="26" t="n">
        <f aca="false">Stock_Summary!J25-Stock_Summary!I25</f>
        <v>80</v>
      </c>
      <c r="M32" s="19" t="n">
        <f aca="false">L32*H32</f>
        <v>44192</v>
      </c>
      <c r="N32" s="30" t="str">
        <f aca="false">IF(AND(H32=0,G32&gt;0),"DEAD STOCK",IF(J32&gt;180,"SLOW MOVING","OK"))</f>
        <v>OK</v>
      </c>
      <c r="P32" s="1" t="n">
        <v>24</v>
      </c>
      <c r="Q32" s="1" t="str">
        <f aca="false">INDEX($B$9:$B$63,MATCH(P32,$D$9:$D$63,0))</f>
        <v>KR</v>
      </c>
      <c r="R32" s="12" t="n">
        <f aca="false">INDEX($C$9:$C$63,MATCH(P32,$D$9:$D$63,0))</f>
        <v>84000</v>
      </c>
      <c r="S32" s="34" t="n">
        <f aca="false">INDEX($E$9:$E$63,MATCH(P32,$D$9:$D$63,0))</f>
        <v>0.973454125184612</v>
      </c>
    </row>
    <row r="33" customFormat="false" ht="15" hidden="false" customHeight="true" outlineLevel="0" collapsed="false">
      <c r="B33" s="26" t="str">
        <f aca="false">Stock_Summary!A26</f>
        <v>BPR</v>
      </c>
      <c r="C33" s="27" t="n">
        <f aca="false">Stock_Summary!L26</f>
        <v>0</v>
      </c>
      <c r="D33" s="28" t="n">
        <f aca="false">RANK(C33,$C$9:$C$63,0)+COUNTIF($C$9:C33,C33)-1</f>
        <v>39</v>
      </c>
      <c r="E33" s="29" t="n">
        <f aca="false">SUMIFS($C$9:$C$63,$D$9:$D$63,"&lt;="&amp;D33)/SUM($C$9:$C$63)</f>
        <v>1</v>
      </c>
      <c r="F33" s="30" t="str">
        <f aca="false">IF(E33&lt;=0.8,"A",IF(E33&lt;=0.95,"B","C"))</f>
        <v>C</v>
      </c>
      <c r="G33" s="31" t="n">
        <f aca="false">Stock_Summary!F26</f>
        <v>0</v>
      </c>
      <c r="H33" s="31" t="n">
        <f aca="false">Stock_Summary!D26</f>
        <v>0</v>
      </c>
      <c r="I33" s="28" t="n">
        <f aca="false">MAX(Transactions!$B:$B)-MIN(Transactions!$B:$B)+1</f>
        <v>107</v>
      </c>
      <c r="J33" s="32" t="n">
        <f aca="false">IF(H33&gt;0,G33*I33/H33,999)</f>
        <v>999</v>
      </c>
      <c r="K33" s="33" t="n">
        <f aca="false">IF((G33+H33)/2&gt;0,H33/((G33+H33)/2),0)</f>
        <v>0</v>
      </c>
      <c r="L33" s="26" t="n">
        <f aca="false">Stock_Summary!J26-Stock_Summary!I26</f>
        <v>99</v>
      </c>
      <c r="M33" s="19" t="n">
        <f aca="false">L33*H33</f>
        <v>0</v>
      </c>
      <c r="N33" s="30" t="str">
        <f aca="false">IF(AND(H33=0,G33&gt;0),"DEAD STOCK",IF(J33&gt;180,"SLOW MOVING","OK"))</f>
        <v>SLOW MOVING</v>
      </c>
      <c r="P33" s="1" t="n">
        <v>25</v>
      </c>
      <c r="Q33" s="1" t="str">
        <f aca="false">INDEX($B$9:$B$63,MATCH(P33,$D$9:$D$63,0))</f>
        <v>FI</v>
      </c>
      <c r="R33" s="12" t="n">
        <f aca="false">INDEX($C$9:$C$63,MATCH(P33,$D$9:$D$63,0))</f>
        <v>76000</v>
      </c>
      <c r="S33" s="34" t="n">
        <f aca="false">INDEX($E$9:$E$63,MATCH(P33,$D$9:$D$63,0))</f>
        <v>0.979287641122345</v>
      </c>
    </row>
    <row r="34" customFormat="false" ht="15" hidden="false" customHeight="true" outlineLevel="0" collapsed="false">
      <c r="B34" s="26" t="str">
        <f aca="false">Stock_Summary!A27</f>
        <v>AC</v>
      </c>
      <c r="C34" s="27" t="n">
        <f aca="false">Stock_Summary!L27</f>
        <v>0</v>
      </c>
      <c r="D34" s="28" t="n">
        <f aca="false">RANK(C34,$C$9:$C$63,0)+COUNTIF($C$9:C34,C34)-1</f>
        <v>40</v>
      </c>
      <c r="E34" s="29" t="n">
        <f aca="false">SUMIFS($C$9:$C$63,$D$9:$D$63,"&lt;="&amp;D34)/SUM($C$9:$C$63)</f>
        <v>1</v>
      </c>
      <c r="F34" s="30" t="str">
        <f aca="false">IF(E34&lt;=0.8,"A",IF(E34&lt;=0.95,"B","C"))</f>
        <v>C</v>
      </c>
      <c r="G34" s="31" t="n">
        <f aca="false">Stock_Summary!F27</f>
        <v>112</v>
      </c>
      <c r="H34" s="31" t="n">
        <f aca="false">Stock_Summary!D27</f>
        <v>0</v>
      </c>
      <c r="I34" s="28" t="n">
        <f aca="false">MAX(Transactions!$B:$B)-MIN(Transactions!$B:$B)+1</f>
        <v>107</v>
      </c>
      <c r="J34" s="32" t="n">
        <f aca="false">IF(H34&gt;0,G34*I34/H34,999)</f>
        <v>999</v>
      </c>
      <c r="K34" s="33" t="n">
        <f aca="false">IF((G34+H34)/2&gt;0,H34/((G34+H34)/2),0)</f>
        <v>0</v>
      </c>
      <c r="L34" s="26" t="n">
        <f aca="false">Stock_Summary!J27-Stock_Summary!I27</f>
        <v>0</v>
      </c>
      <c r="M34" s="19" t="n">
        <f aca="false">L34*H34</f>
        <v>0</v>
      </c>
      <c r="N34" s="30" t="str">
        <f aca="false">IF(AND(H34=0,G34&gt;0),"DEAD STOCK",IF(J34&gt;180,"SLOW MOVING","OK"))</f>
        <v>DEAD STOCK</v>
      </c>
      <c r="P34" s="1" t="n">
        <v>26</v>
      </c>
      <c r="Q34" s="1" t="str">
        <f aca="false">INDEX($B$9:$B$63,MATCH(P34,$D$9:$D$63,0))</f>
        <v>RM</v>
      </c>
      <c r="R34" s="12" t="n">
        <f aca="false">INDEX($C$9:$C$63,MATCH(P34,$D$9:$D$63,0))</f>
        <v>72450</v>
      </c>
      <c r="S34" s="34" t="n">
        <f aca="false">INDEX($E$9:$E$63,MATCH(P34,$D$9:$D$63,0))</f>
        <v>0.984848670460356</v>
      </c>
    </row>
    <row r="35" customFormat="false" ht="15" hidden="false" customHeight="true" outlineLevel="0" collapsed="false">
      <c r="B35" s="26" t="str">
        <f aca="false">Stock_Summary!A28</f>
        <v>EF</v>
      </c>
      <c r="C35" s="27" t="n">
        <f aca="false">Stock_Summary!L28</f>
        <v>0</v>
      </c>
      <c r="D35" s="28" t="n">
        <f aca="false">RANK(C35,$C$9:$C$63,0)+COUNTIF($C$9:C35,C35)-1</f>
        <v>41</v>
      </c>
      <c r="E35" s="29" t="n">
        <f aca="false">SUMIFS($C$9:$C$63,$D$9:$D$63,"&lt;="&amp;D35)/SUM($C$9:$C$63)</f>
        <v>1</v>
      </c>
      <c r="F35" s="30" t="str">
        <f aca="false">IF(E35&lt;=0.8,"A",IF(E35&lt;=0.95,"B","C"))</f>
        <v>C</v>
      </c>
      <c r="G35" s="31" t="n">
        <f aca="false">Stock_Summary!F28</f>
        <v>283</v>
      </c>
      <c r="H35" s="31" t="n">
        <f aca="false">Stock_Summary!D28</f>
        <v>0</v>
      </c>
      <c r="I35" s="28" t="n">
        <f aca="false">MAX(Transactions!$B:$B)-MIN(Transactions!$B:$B)+1</f>
        <v>107</v>
      </c>
      <c r="J35" s="32" t="n">
        <f aca="false">IF(H35&gt;0,G35*I35/H35,999)</f>
        <v>999</v>
      </c>
      <c r="K35" s="33" t="n">
        <f aca="false">IF((G35+H35)/2&gt;0,H35/((G35+H35)/2),0)</f>
        <v>0</v>
      </c>
      <c r="L35" s="26" t="n">
        <f aca="false">Stock_Summary!J28-Stock_Summary!I28</f>
        <v>40</v>
      </c>
      <c r="M35" s="19" t="n">
        <f aca="false">L35*H35</f>
        <v>0</v>
      </c>
      <c r="N35" s="30" t="str">
        <f aca="false">IF(AND(H35=0,G35&gt;0),"DEAD STOCK",IF(J35&gt;180,"SLOW MOVING","OK"))</f>
        <v>DEAD STOCK</v>
      </c>
      <c r="P35" s="1" t="n">
        <v>27</v>
      </c>
      <c r="Q35" s="1" t="str">
        <f aca="false">INDEX($B$9:$B$63,MATCH(P35,$D$9:$D$63,0))</f>
        <v>ALFI</v>
      </c>
      <c r="R35" s="12" t="n">
        <f aca="false">INDEX($C$9:$C$63,MATCH(P35,$D$9:$D$63,0))</f>
        <v>44100</v>
      </c>
      <c r="S35" s="34" t="n">
        <f aca="false">INDEX($E$9:$E$63,MATCH(P35,$D$9:$D$63,0))</f>
        <v>0.988233644840014</v>
      </c>
    </row>
    <row r="36" customFormat="false" ht="15" hidden="false" customHeight="true" outlineLevel="0" collapsed="false">
      <c r="B36" s="26" t="str">
        <f aca="false">Stock_Summary!A29</f>
        <v>PBS</v>
      </c>
      <c r="C36" s="27" t="n">
        <f aca="false">Stock_Summary!L29</f>
        <v>0</v>
      </c>
      <c r="D36" s="28" t="n">
        <f aca="false">RANK(C36,$C$9:$C$63,0)+COUNTIF($C$9:C36,C36)-1</f>
        <v>42</v>
      </c>
      <c r="E36" s="29" t="n">
        <f aca="false">SUMIFS($C$9:$C$63,$D$9:$D$63,"&lt;="&amp;D36)/SUM($C$9:$C$63)</f>
        <v>1</v>
      </c>
      <c r="F36" s="30" t="str">
        <f aca="false">IF(E36&lt;=0.8,"A",IF(E36&lt;=0.95,"B","C"))</f>
        <v>C</v>
      </c>
      <c r="G36" s="31" t="n">
        <f aca="false">Stock_Summary!F29</f>
        <v>85</v>
      </c>
      <c r="H36" s="31" t="n">
        <f aca="false">Stock_Summary!D29</f>
        <v>0</v>
      </c>
      <c r="I36" s="28" t="n">
        <f aca="false">MAX(Transactions!$B:$B)-MIN(Transactions!$B:$B)+1</f>
        <v>107</v>
      </c>
      <c r="J36" s="32" t="n">
        <f aca="false">IF(H36&gt;0,G36*I36/H36,999)</f>
        <v>999</v>
      </c>
      <c r="K36" s="33" t="n">
        <f aca="false">IF((G36+H36)/2&gt;0,H36/((G36+H36)/2),0)</f>
        <v>0</v>
      </c>
      <c r="L36" s="26" t="n">
        <f aca="false">Stock_Summary!J29-Stock_Summary!I29</f>
        <v>0</v>
      </c>
      <c r="M36" s="19" t="n">
        <f aca="false">L36*H36</f>
        <v>0</v>
      </c>
      <c r="N36" s="30" t="str">
        <f aca="false">IF(AND(H36=0,G36&gt;0),"DEAD STOCK",IF(J36&gt;180,"SLOW MOVING","OK"))</f>
        <v>DEAD STOCK</v>
      </c>
      <c r="P36" s="1" t="n">
        <v>28</v>
      </c>
      <c r="Q36" s="1" t="str">
        <f aca="false">INDEX($B$9:$B$63,MATCH(P36,$D$9:$D$63,0))</f>
        <v>C5I</v>
      </c>
      <c r="R36" s="12" t="n">
        <f aca="false">INDEX($C$9:$C$63,MATCH(P36,$D$9:$D$63,0))</f>
        <v>42300</v>
      </c>
      <c r="S36" s="34" t="n">
        <f aca="false">INDEX($E$9:$E$63,MATCH(P36,$D$9:$D$63,0))</f>
        <v>0.991480457000095</v>
      </c>
    </row>
    <row r="37" customFormat="false" ht="15" hidden="false" customHeight="true" outlineLevel="0" collapsed="false">
      <c r="B37" s="26" t="str">
        <f aca="false">Stock_Summary!A30</f>
        <v>G50</v>
      </c>
      <c r="C37" s="27" t="n">
        <f aca="false">Stock_Summary!L30</f>
        <v>0</v>
      </c>
      <c r="D37" s="28" t="n">
        <f aca="false">RANK(C37,$C$9:$C$63,0)+COUNTIF($C$9:C37,C37)-1</f>
        <v>43</v>
      </c>
      <c r="E37" s="29" t="n">
        <f aca="false">SUMIFS($C$9:$C$63,$D$9:$D$63,"&lt;="&amp;D37)/SUM($C$9:$C$63)</f>
        <v>1</v>
      </c>
      <c r="F37" s="30" t="str">
        <f aca="false">IF(E37&lt;=0.8,"A",IF(E37&lt;=0.95,"B","C"))</f>
        <v>C</v>
      </c>
      <c r="G37" s="31" t="n">
        <f aca="false">Stock_Summary!F30</f>
        <v>480</v>
      </c>
      <c r="H37" s="31" t="n">
        <f aca="false">Stock_Summary!D30</f>
        <v>0</v>
      </c>
      <c r="I37" s="28" t="n">
        <f aca="false">MAX(Transactions!$B:$B)-MIN(Transactions!$B:$B)+1</f>
        <v>107</v>
      </c>
      <c r="J37" s="32" t="n">
        <f aca="false">IF(H37&gt;0,G37*I37/H37,999)</f>
        <v>999</v>
      </c>
      <c r="K37" s="33" t="n">
        <f aca="false">IF((G37+H37)/2&gt;0,H37/((G37+H37)/2),0)</f>
        <v>0</v>
      </c>
      <c r="L37" s="26" t="n">
        <f aca="false">Stock_Summary!J30-Stock_Summary!I30</f>
        <v>23</v>
      </c>
      <c r="M37" s="19" t="n">
        <f aca="false">L37*H37</f>
        <v>0</v>
      </c>
      <c r="N37" s="30" t="str">
        <f aca="false">IF(AND(H37=0,G37&gt;0),"DEAD STOCK",IF(J37&gt;180,"SLOW MOVING","OK"))</f>
        <v>DEAD STOCK</v>
      </c>
      <c r="P37" s="1" t="n">
        <v>29</v>
      </c>
      <c r="Q37" s="1" t="str">
        <f aca="false">INDEX($B$9:$B$63,MATCH(P37,$D$9:$D$63,0))</f>
        <v>ACT.A</v>
      </c>
      <c r="R37" s="12" t="n">
        <f aca="false">INDEX($C$9:$C$63,MATCH(P37,$D$9:$D$63,0))</f>
        <v>31000</v>
      </c>
      <c r="S37" s="34" t="n">
        <f aca="false">INDEX($E$9:$E$63,MATCH(P37,$D$9:$D$63,0))</f>
        <v>0.993859917448381</v>
      </c>
    </row>
    <row r="38" customFormat="false" ht="15" hidden="false" customHeight="true" outlineLevel="0" collapsed="false">
      <c r="B38" s="26" t="str">
        <f aca="false">Stock_Summary!A31</f>
        <v>ECO 6</v>
      </c>
      <c r="C38" s="27" t="n">
        <f aca="false">Stock_Summary!L31</f>
        <v>165000</v>
      </c>
      <c r="D38" s="28" t="n">
        <f aca="false">RANK(C38,$C$9:$C$63,0)+COUNTIF($C$9:C38,C38)-1</f>
        <v>21</v>
      </c>
      <c r="E38" s="29" t="n">
        <f aca="false">SUMIFS($C$9:$C$63,$D$9:$D$63,"&lt;="&amp;D38)/SUM($C$9:$C$63)</f>
        <v>0.949154491735121</v>
      </c>
      <c r="F38" s="30" t="str">
        <f aca="false">IF(E38&lt;=0.8,"A",IF(E38&lt;=0.95,"B","C"))</f>
        <v>B</v>
      </c>
      <c r="G38" s="31" t="n">
        <f aca="false">Stock_Summary!F31</f>
        <v>0</v>
      </c>
      <c r="H38" s="31" t="n">
        <f aca="false">Stock_Summary!D31</f>
        <v>500</v>
      </c>
      <c r="I38" s="28" t="n">
        <f aca="false">MAX(Transactions!$B:$B)-MIN(Transactions!$B:$B)+1</f>
        <v>107</v>
      </c>
      <c r="J38" s="32" t="n">
        <f aca="false">IF(H38&gt;0,G38*I38/H38,999)</f>
        <v>0</v>
      </c>
      <c r="K38" s="33" t="n">
        <f aca="false">IF((G38+H38)/2&gt;0,H38/((G38+H38)/2),0)</f>
        <v>2</v>
      </c>
      <c r="L38" s="26" t="n">
        <f aca="false">Stock_Summary!J31-Stock_Summary!I31</f>
        <v>80</v>
      </c>
      <c r="M38" s="19" t="n">
        <f aca="false">L38*H38</f>
        <v>40000</v>
      </c>
      <c r="N38" s="30" t="str">
        <f aca="false">IF(AND(H38=0,G38&gt;0),"DEAD STOCK",IF(J38&gt;180,"SLOW MOVING","OK"))</f>
        <v>OK</v>
      </c>
      <c r="P38" s="1" t="n">
        <v>30</v>
      </c>
      <c r="Q38" s="1" t="str">
        <f aca="false">INDEX($B$9:$B$63,MATCH(P38,$D$9:$D$63,0))</f>
        <v>FP</v>
      </c>
      <c r="R38" s="12" t="n">
        <f aca="false">INDEX($C$9:$C$63,MATCH(P38,$D$9:$D$63,0))</f>
        <v>25000</v>
      </c>
      <c r="S38" s="34" t="n">
        <f aca="false">INDEX($E$9:$E$63,MATCH(P38,$D$9:$D$63,0))</f>
        <v>0.995778837164741</v>
      </c>
    </row>
    <row r="39" customFormat="false" ht="15" hidden="false" customHeight="true" outlineLevel="0" collapsed="false">
      <c r="B39" s="26" t="str">
        <f aca="false">Stock_Summary!A32</f>
        <v>FP</v>
      </c>
      <c r="C39" s="27" t="n">
        <f aca="false">Stock_Summary!L32</f>
        <v>25000</v>
      </c>
      <c r="D39" s="28" t="n">
        <f aca="false">RANK(C39,$C$9:$C$63,0)+COUNTIF($C$9:C39,C39)-1</f>
        <v>30</v>
      </c>
      <c r="E39" s="29" t="n">
        <f aca="false">SUMIFS($C$9:$C$63,$D$9:$D$63,"&lt;="&amp;D39)/SUM($C$9:$C$63)</f>
        <v>0.995778837164741</v>
      </c>
      <c r="F39" s="30" t="str">
        <f aca="false">IF(E39&lt;=0.8,"A",IF(E39&lt;=0.95,"B","C"))</f>
        <v>C</v>
      </c>
      <c r="G39" s="31" t="n">
        <f aca="false">Stock_Summary!F32</f>
        <v>1835</v>
      </c>
      <c r="H39" s="31" t="n">
        <f aca="false">Stock_Summary!D32</f>
        <v>200</v>
      </c>
      <c r="I39" s="28" t="n">
        <f aca="false">MAX(Transactions!$B:$B)-MIN(Transactions!$B:$B)+1</f>
        <v>107</v>
      </c>
      <c r="J39" s="32" t="n">
        <f aca="false">IF(H39&gt;0,G39*I39/H39,999)</f>
        <v>981.725</v>
      </c>
      <c r="K39" s="33" t="n">
        <f aca="false">IF((G39+H39)/2&gt;0,H39/((G39+H39)/2),0)</f>
        <v>0.196560196560197</v>
      </c>
      <c r="L39" s="26" t="n">
        <f aca="false">Stock_Summary!J32-Stock_Summary!I32</f>
        <v>25</v>
      </c>
      <c r="M39" s="19" t="n">
        <f aca="false">L39*H39</f>
        <v>5000</v>
      </c>
      <c r="N39" s="30" t="str">
        <f aca="false">IF(AND(H39=0,G39&gt;0),"DEAD STOCK",IF(J39&gt;180,"SLOW MOVING","OK"))</f>
        <v>SLOW MOVING</v>
      </c>
      <c r="P39" s="1" t="n">
        <v>31</v>
      </c>
      <c r="Q39" s="1" t="str">
        <f aca="false">INDEX($B$9:$B$63,MATCH(P39,$D$9:$D$63,0))</f>
        <v>CWET</v>
      </c>
      <c r="R39" s="12" t="n">
        <f aca="false">INDEX($C$9:$C$63,MATCH(P39,$D$9:$D$63,0))</f>
        <v>18130</v>
      </c>
      <c r="S39" s="34" t="n">
        <f aca="false">INDEX($E$9:$E$63,MATCH(P39,$D$9:$D$63,0))</f>
        <v>0.997170437743045</v>
      </c>
    </row>
    <row r="40" customFormat="false" ht="15" hidden="false" customHeight="true" outlineLevel="0" collapsed="false">
      <c r="B40" s="26" t="str">
        <f aca="false">Stock_Summary!A33</f>
        <v>SUM</v>
      </c>
      <c r="C40" s="27" t="n">
        <f aca="false">Stock_Summary!L33</f>
        <v>0</v>
      </c>
      <c r="D40" s="28" t="n">
        <f aca="false">RANK(C40,$C$9:$C$63,0)+COUNTIF($C$9:C40,C40)-1</f>
        <v>44</v>
      </c>
      <c r="E40" s="29" t="n">
        <f aca="false">SUMIFS($C$9:$C$63,$D$9:$D$63,"&lt;="&amp;D40)/SUM($C$9:$C$63)</f>
        <v>1</v>
      </c>
      <c r="F40" s="30" t="str">
        <f aca="false">IF(E40&lt;=0.8,"A",IF(E40&lt;=0.95,"B","C"))</f>
        <v>C</v>
      </c>
      <c r="G40" s="31" t="n">
        <f aca="false">Stock_Summary!F33</f>
        <v>96</v>
      </c>
      <c r="H40" s="31" t="n">
        <f aca="false">Stock_Summary!D33</f>
        <v>0</v>
      </c>
      <c r="I40" s="28" t="n">
        <f aca="false">MAX(Transactions!$B:$B)-MIN(Transactions!$B:$B)+1</f>
        <v>107</v>
      </c>
      <c r="J40" s="32" t="n">
        <f aca="false">IF(H40&gt;0,G40*I40/H40,999)</f>
        <v>999</v>
      </c>
      <c r="K40" s="33" t="n">
        <f aca="false">IF((G40+H40)/2&gt;0,H40/((G40+H40)/2),0)</f>
        <v>0</v>
      </c>
      <c r="L40" s="26" t="n">
        <f aca="false">Stock_Summary!J33-Stock_Summary!I33</f>
        <v>58</v>
      </c>
      <c r="M40" s="19" t="n">
        <f aca="false">L40*H40</f>
        <v>0</v>
      </c>
      <c r="N40" s="30" t="str">
        <f aca="false">IF(AND(H40=0,G40&gt;0),"DEAD STOCK",IF(J40&gt;180,"SLOW MOVING","OK"))</f>
        <v>DEAD STOCK</v>
      </c>
      <c r="P40" s="1" t="n">
        <v>32</v>
      </c>
      <c r="Q40" s="1" t="str">
        <f aca="false">INDEX($B$9:$B$63,MATCH(P40,$D$9:$D$63,0))</f>
        <v>NHI</v>
      </c>
      <c r="R40" s="12" t="n">
        <f aca="false">INDEX($C$9:$C$63,MATCH(P40,$D$9:$D$63,0))</f>
        <v>18000</v>
      </c>
      <c r="S40" s="34" t="n">
        <f aca="false">INDEX($E$9:$E$63,MATCH(P40,$D$9:$D$63,0))</f>
        <v>0.998552059938824</v>
      </c>
    </row>
    <row r="41" customFormat="false" ht="15" hidden="false" customHeight="true" outlineLevel="0" collapsed="false">
      <c r="B41" s="26" t="str">
        <f aca="false">Stock_Summary!A34</f>
        <v>DLPS</v>
      </c>
      <c r="C41" s="27" t="n">
        <f aca="false">Stock_Summary!L34</f>
        <v>165600</v>
      </c>
      <c r="D41" s="28" t="n">
        <f aca="false">RANK(C41,$C$9:$C$63,0)+COUNTIF($C$9:C41,C41)-1</f>
        <v>20</v>
      </c>
      <c r="E41" s="29" t="n">
        <f aca="false">SUMIFS($C$9:$C$63,$D$9:$D$63,"&lt;="&amp;D41)/SUM($C$9:$C$63)</f>
        <v>0.936489621607147</v>
      </c>
      <c r="F41" s="30" t="str">
        <f aca="false">IF(E41&lt;=0.8,"A",IF(E41&lt;=0.95,"B","C"))</f>
        <v>B</v>
      </c>
      <c r="G41" s="31" t="n">
        <f aca="false">Stock_Summary!F34</f>
        <v>0</v>
      </c>
      <c r="H41" s="31" t="n">
        <f aca="false">Stock_Summary!D34</f>
        <v>360</v>
      </c>
      <c r="I41" s="28" t="n">
        <f aca="false">MAX(Transactions!$B:$B)-MIN(Transactions!$B:$B)+1</f>
        <v>107</v>
      </c>
      <c r="J41" s="32" t="n">
        <f aca="false">IF(H41&gt;0,G41*I41/H41,999)</f>
        <v>0</v>
      </c>
      <c r="K41" s="33" t="n">
        <f aca="false">IF((G41+H41)/2&gt;0,H41/((G41+H41)/2),0)</f>
        <v>2</v>
      </c>
      <c r="L41" s="26" t="n">
        <f aca="false">Stock_Summary!J34-Stock_Summary!I34</f>
        <v>80</v>
      </c>
      <c r="M41" s="19" t="n">
        <f aca="false">L41*H41</f>
        <v>28800</v>
      </c>
      <c r="N41" s="30" t="str">
        <f aca="false">IF(AND(H41=0,G41&gt;0),"DEAD STOCK",IF(J41&gt;180,"SLOW MOVING","OK"))</f>
        <v>OK</v>
      </c>
      <c r="P41" s="1" t="n">
        <v>33</v>
      </c>
      <c r="Q41" s="1" t="str">
        <f aca="false">INDEX($B$9:$B$63,MATCH(P41,$D$9:$D$63,0))</f>
        <v>G2</v>
      </c>
      <c r="R41" s="12" t="n">
        <f aca="false">INDEX($C$9:$C$63,MATCH(P41,$D$9:$D$63,0))</f>
        <v>13000</v>
      </c>
      <c r="S41" s="34" t="n">
        <f aca="false">INDEX($E$9:$E$63,MATCH(P41,$D$9:$D$63,0))</f>
        <v>0.999549898191331</v>
      </c>
    </row>
    <row r="42" customFormat="false" ht="15" hidden="false" customHeight="true" outlineLevel="0" collapsed="false">
      <c r="B42" s="26" t="str">
        <f aca="false">Stock_Summary!A35</f>
        <v>ITS</v>
      </c>
      <c r="C42" s="27" t="n">
        <f aca="false">Stock_Summary!L35</f>
        <v>0</v>
      </c>
      <c r="D42" s="28" t="n">
        <f aca="false">RANK(C42,$C$9:$C$63,0)+COUNTIF($C$9:C42,C42)-1</f>
        <v>45</v>
      </c>
      <c r="E42" s="29" t="n">
        <f aca="false">SUMIFS($C$9:$C$63,$D$9:$D$63,"&lt;="&amp;D42)/SUM($C$9:$C$63)</f>
        <v>1</v>
      </c>
      <c r="F42" s="30" t="str">
        <f aca="false">IF(E42&lt;=0.8,"A",IF(E42&lt;=0.95,"B","C"))</f>
        <v>C</v>
      </c>
      <c r="G42" s="31" t="n">
        <f aca="false">Stock_Summary!F35</f>
        <v>0</v>
      </c>
      <c r="H42" s="31" t="n">
        <f aca="false">Stock_Summary!D35</f>
        <v>0</v>
      </c>
      <c r="I42" s="28" t="n">
        <f aca="false">MAX(Transactions!$B:$B)-MIN(Transactions!$B:$B)+1</f>
        <v>107</v>
      </c>
      <c r="J42" s="32" t="n">
        <f aca="false">IF(H42&gt;0,G42*I42/H42,999)</f>
        <v>999</v>
      </c>
      <c r="K42" s="33" t="n">
        <f aca="false">IF((G42+H42)/2&gt;0,H42/((G42+H42)/2),0)</f>
        <v>0</v>
      </c>
      <c r="L42" s="26" t="n">
        <f aca="false">Stock_Summary!J35-Stock_Summary!I35</f>
        <v>68</v>
      </c>
      <c r="M42" s="19" t="n">
        <f aca="false">L42*H42</f>
        <v>0</v>
      </c>
      <c r="N42" s="30" t="str">
        <f aca="false">IF(AND(H42=0,G42&gt;0),"DEAD STOCK",IF(J42&gt;180,"SLOW MOVING","OK"))</f>
        <v>SLOW MOVING</v>
      </c>
      <c r="P42" s="1" t="n">
        <v>34</v>
      </c>
      <c r="Q42" s="1" t="str">
        <f aca="false">INDEX($B$9:$B$63,MATCH(P42,$D$9:$D$63,0))</f>
        <v>FD</v>
      </c>
      <c r="R42" s="12" t="n">
        <f aca="false">INDEX($C$9:$C$63,MATCH(P42,$D$9:$D$63,0))</f>
        <v>3000</v>
      </c>
      <c r="S42" s="34" t="n">
        <f aca="false">INDEX($E$9:$E$63,MATCH(P42,$D$9:$D$63,0))</f>
        <v>0.999780168557294</v>
      </c>
    </row>
    <row r="43" customFormat="false" ht="15" hidden="false" customHeight="true" outlineLevel="0" collapsed="false">
      <c r="B43" s="26" t="str">
        <f aca="false">Stock_Summary!A36</f>
        <v>ACT E</v>
      </c>
      <c r="C43" s="27" t="n">
        <f aca="false">Stock_Summary!L36</f>
        <v>2550</v>
      </c>
      <c r="D43" s="28" t="n">
        <f aca="false">RANK(C43,$C$9:$C$63,0)+COUNTIF($C$9:C43,C43)-1</f>
        <v>35</v>
      </c>
      <c r="E43" s="29" t="n">
        <f aca="false">SUMIFS($C$9:$C$63,$D$9:$D$63,"&lt;="&amp;D43)/SUM($C$9:$C$63)</f>
        <v>0.999975898368363</v>
      </c>
      <c r="F43" s="30" t="str">
        <f aca="false">IF(E43&lt;=0.8,"A",IF(E43&lt;=0.95,"B","C"))</f>
        <v>C</v>
      </c>
      <c r="G43" s="31" t="n">
        <f aca="false">Stock_Summary!F36</f>
        <v>1655</v>
      </c>
      <c r="H43" s="31" t="n">
        <f aca="false">Stock_Summary!D36</f>
        <v>25</v>
      </c>
      <c r="I43" s="28" t="n">
        <f aca="false">MAX(Transactions!$B:$B)-MIN(Transactions!$B:$B)+1</f>
        <v>107</v>
      </c>
      <c r="J43" s="32" t="n">
        <f aca="false">IF(H43&gt;0,G43*I43/H43,999)</f>
        <v>7083.4</v>
      </c>
      <c r="K43" s="33" t="n">
        <f aca="false">IF((G43+H43)/2&gt;0,H43/((G43+H43)/2),0)</f>
        <v>0.0297619047619048</v>
      </c>
      <c r="L43" s="26" t="n">
        <f aca="false">Stock_Summary!J36-Stock_Summary!I36</f>
        <v>28</v>
      </c>
      <c r="M43" s="19" t="n">
        <f aca="false">L43*H43</f>
        <v>700</v>
      </c>
      <c r="N43" s="30" t="str">
        <f aca="false">IF(AND(H43=0,G43&gt;0),"DEAD STOCK",IF(J43&gt;180,"SLOW MOVING","OK"))</f>
        <v>SLOW MOVING</v>
      </c>
      <c r="P43" s="1" t="n">
        <v>35</v>
      </c>
      <c r="Q43" s="1" t="str">
        <f aca="false">INDEX($B$9:$B$63,MATCH(P43,$D$9:$D$63,0))</f>
        <v>ACT E</v>
      </c>
      <c r="R43" s="12" t="n">
        <f aca="false">INDEX($C$9:$C$63,MATCH(P43,$D$9:$D$63,0))</f>
        <v>2550</v>
      </c>
      <c r="S43" s="34" t="n">
        <f aca="false">INDEX($E$9:$E$63,MATCH(P43,$D$9:$D$63,0))</f>
        <v>0.999975898368363</v>
      </c>
    </row>
    <row r="44" customFormat="false" ht="15" hidden="false" customHeight="true" outlineLevel="0" collapsed="false">
      <c r="B44" s="26" t="str">
        <f aca="false">Stock_Summary!A37</f>
        <v>SBAI</v>
      </c>
      <c r="C44" s="27" t="n">
        <f aca="false">Stock_Summary!L37</f>
        <v>231000</v>
      </c>
      <c r="D44" s="28" t="n">
        <f aca="false">RANK(C44,$C$9:$C$63,0)+COUNTIF($C$9:C44,C44)-1</f>
        <v>17</v>
      </c>
      <c r="E44" s="29" t="n">
        <f aca="false">SUMIFS($C$9:$C$63,$D$9:$D$63,"&lt;="&amp;D44)/SUM($C$9:$C$63)</f>
        <v>0.897459485387488</v>
      </c>
      <c r="F44" s="30" t="str">
        <f aca="false">IF(E44&lt;=0.8,"A",IF(E44&lt;=0.95,"B","C"))</f>
        <v>B</v>
      </c>
      <c r="G44" s="31" t="n">
        <f aca="false">Stock_Summary!F37</f>
        <v>1524</v>
      </c>
      <c r="H44" s="31" t="n">
        <f aca="false">Stock_Summary!D37</f>
        <v>1650</v>
      </c>
      <c r="I44" s="28" t="n">
        <f aca="false">MAX(Transactions!$B:$B)-MIN(Transactions!$B:$B)+1</f>
        <v>107</v>
      </c>
      <c r="J44" s="32" t="n">
        <f aca="false">IF(H44&gt;0,G44*I44/H44,999)</f>
        <v>98.8290909090909</v>
      </c>
      <c r="K44" s="33" t="n">
        <f aca="false">IF((G44+H44)/2&gt;0,H44/((G44+H44)/2),0)</f>
        <v>1.03969754253308</v>
      </c>
      <c r="L44" s="26" t="n">
        <f aca="false">Stock_Summary!J37-Stock_Summary!I37</f>
        <v>25</v>
      </c>
      <c r="M44" s="19" t="n">
        <f aca="false">L44*H44</f>
        <v>41250</v>
      </c>
      <c r="N44" s="30" t="str">
        <f aca="false">IF(AND(H44=0,G44&gt;0),"DEAD STOCK",IF(J44&gt;180,"SLOW MOVING","OK"))</f>
        <v>OK</v>
      </c>
      <c r="P44" s="1" t="n">
        <v>36</v>
      </c>
      <c r="Q44" s="1" t="str">
        <f aca="false">INDEX($B$9:$B$63,MATCH(P44,$D$9:$D$63,0))</f>
        <v>WTI</v>
      </c>
      <c r="R44" s="12" t="n">
        <f aca="false">INDEX($C$9:$C$63,MATCH(P44,$D$9:$D$63,0))</f>
        <v>314</v>
      </c>
      <c r="S44" s="34" t="n">
        <f aca="false">INDEX($E$9:$E$63,MATCH(P44,$D$9:$D$63,0))</f>
        <v>1</v>
      </c>
    </row>
    <row r="45" customFormat="false" ht="15" hidden="false" customHeight="true" outlineLevel="0" collapsed="false">
      <c r="B45" s="26" t="str">
        <f aca="false">Stock_Summary!A38</f>
        <v>FI</v>
      </c>
      <c r="C45" s="27" t="n">
        <f aca="false">Stock_Summary!L38</f>
        <v>76000</v>
      </c>
      <c r="D45" s="28" t="n">
        <f aca="false">RANK(C45,$C$9:$C$63,0)+COUNTIF($C$9:C45,C45)-1</f>
        <v>25</v>
      </c>
      <c r="E45" s="29" t="n">
        <f aca="false">SUMIFS($C$9:$C$63,$D$9:$D$63,"&lt;="&amp;D45)/SUM($C$9:$C$63)</f>
        <v>0.979287641122345</v>
      </c>
      <c r="F45" s="30" t="str">
        <f aca="false">IF(E45&lt;=0.8,"A",IF(E45&lt;=0.95,"B","C"))</f>
        <v>C</v>
      </c>
      <c r="G45" s="31" t="n">
        <f aca="false">Stock_Summary!F38</f>
        <v>470</v>
      </c>
      <c r="H45" s="31" t="n">
        <f aca="false">Stock_Summary!D38</f>
        <v>475</v>
      </c>
      <c r="I45" s="28" t="n">
        <f aca="false">MAX(Transactions!$B:$B)-MIN(Transactions!$B:$B)+1</f>
        <v>107</v>
      </c>
      <c r="J45" s="32" t="n">
        <f aca="false">IF(H45&gt;0,G45*I45/H45,999)</f>
        <v>105.873684210526</v>
      </c>
      <c r="K45" s="33" t="n">
        <f aca="false">IF((G45+H45)/2&gt;0,H45/((G45+H45)/2),0)</f>
        <v>1.00529100529101</v>
      </c>
      <c r="L45" s="26" t="n">
        <f aca="false">Stock_Summary!J38-Stock_Summary!I38</f>
        <v>20</v>
      </c>
      <c r="M45" s="19" t="n">
        <f aca="false">L45*H45</f>
        <v>9500</v>
      </c>
      <c r="N45" s="30" t="str">
        <f aca="false">IF(AND(H45=0,G45&gt;0),"DEAD STOCK",IF(J45&gt;180,"SLOW MOVING","OK"))</f>
        <v>OK</v>
      </c>
      <c r="P45" s="1" t="n">
        <v>37</v>
      </c>
      <c r="Q45" s="1" t="str">
        <f aca="false">INDEX($B$9:$B$63,MATCH(P45,$D$9:$D$63,0))</f>
        <v>G1</v>
      </c>
      <c r="R45" s="12" t="n">
        <f aca="false">INDEX($C$9:$C$63,MATCH(P45,$D$9:$D$63,0))</f>
        <v>0</v>
      </c>
      <c r="S45" s="34" t="n">
        <f aca="false">INDEX($E$9:$E$63,MATCH(P45,$D$9:$D$63,0))</f>
        <v>1</v>
      </c>
    </row>
    <row r="46" customFormat="false" ht="15" hidden="false" customHeight="true" outlineLevel="0" collapsed="false">
      <c r="B46" s="26" t="str">
        <f aca="false">Stock_Summary!A39</f>
        <v>C5I</v>
      </c>
      <c r="C46" s="27" t="n">
        <f aca="false">Stock_Summary!L39</f>
        <v>42300</v>
      </c>
      <c r="D46" s="28" t="n">
        <f aca="false">RANK(C46,$C$9:$C$63,0)+COUNTIF($C$9:C46,C46)-1</f>
        <v>28</v>
      </c>
      <c r="E46" s="29" t="n">
        <f aca="false">SUMIFS($C$9:$C$63,$D$9:$D$63,"&lt;="&amp;D46)/SUM($C$9:$C$63)</f>
        <v>0.991480457000095</v>
      </c>
      <c r="F46" s="30" t="str">
        <f aca="false">IF(E46&lt;=0.8,"A",IF(E46&lt;=0.95,"B","C"))</f>
        <v>C</v>
      </c>
      <c r="G46" s="31" t="n">
        <f aca="false">Stock_Summary!F39</f>
        <v>101</v>
      </c>
      <c r="H46" s="31" t="n">
        <f aca="false">Stock_Summary!D39</f>
        <v>47</v>
      </c>
      <c r="I46" s="28" t="n">
        <f aca="false">MAX(Transactions!$B:$B)-MIN(Transactions!$B:$B)+1</f>
        <v>107</v>
      </c>
      <c r="J46" s="32" t="n">
        <f aca="false">IF(H46&gt;0,G46*I46/H46,999)</f>
        <v>229.936170212766</v>
      </c>
      <c r="K46" s="33" t="n">
        <f aca="false">IF((G46+H46)/2&gt;0,H46/((G46+H46)/2),0)</f>
        <v>0.635135135135135</v>
      </c>
      <c r="L46" s="26" t="n">
        <f aca="false">Stock_Summary!J39-Stock_Summary!I39</f>
        <v>300</v>
      </c>
      <c r="M46" s="19" t="n">
        <f aca="false">L46*H46</f>
        <v>14100</v>
      </c>
      <c r="N46" s="30" t="str">
        <f aca="false">IF(AND(H46=0,G46&gt;0),"DEAD STOCK",IF(J46&gt;180,"SLOW MOVING","OK"))</f>
        <v>SLOW MOVING</v>
      </c>
      <c r="P46" s="1" t="n">
        <v>38</v>
      </c>
      <c r="Q46" s="1" t="str">
        <f aca="false">INDEX($B$9:$B$63,MATCH(P46,$D$9:$D$63,0))</f>
        <v>ZnO</v>
      </c>
      <c r="R46" s="12" t="n">
        <f aca="false">INDEX($C$9:$C$63,MATCH(P46,$D$9:$D$63,0))</f>
        <v>0</v>
      </c>
      <c r="S46" s="34" t="n">
        <f aca="false">INDEX($E$9:$E$63,MATCH(P46,$D$9:$D$63,0))</f>
        <v>1</v>
      </c>
    </row>
    <row r="47" customFormat="false" ht="15" hidden="false" customHeight="true" outlineLevel="0" collapsed="false">
      <c r="B47" s="26" t="str">
        <f aca="false">Stock_Summary!A40</f>
        <v>ALFI</v>
      </c>
      <c r="C47" s="27" t="n">
        <f aca="false">Stock_Summary!L40</f>
        <v>44100</v>
      </c>
      <c r="D47" s="28" t="n">
        <f aca="false">RANK(C47,$C$9:$C$63,0)+COUNTIF($C$9:C47,C47)-1</f>
        <v>27</v>
      </c>
      <c r="E47" s="29" t="n">
        <f aca="false">SUMIFS($C$9:$C$63,$D$9:$D$63,"&lt;="&amp;D47)/SUM($C$9:$C$63)</f>
        <v>0.988233644840014</v>
      </c>
      <c r="F47" s="30" t="str">
        <f aca="false">IF(E47&lt;=0.8,"A",IF(E47&lt;=0.95,"B","C"))</f>
        <v>C</v>
      </c>
      <c r="G47" s="31" t="n">
        <f aca="false">Stock_Summary!F40</f>
        <v>150</v>
      </c>
      <c r="H47" s="31" t="n">
        <f aca="false">Stock_Summary!D40</f>
        <v>225</v>
      </c>
      <c r="I47" s="28" t="n">
        <f aca="false">MAX(Transactions!$B:$B)-MIN(Transactions!$B:$B)+1</f>
        <v>107</v>
      </c>
      <c r="J47" s="32" t="n">
        <f aca="false">IF(H47&gt;0,G47*I47/H47,999)</f>
        <v>71.3333333333333</v>
      </c>
      <c r="K47" s="33" t="n">
        <f aca="false">IF((G47+H47)/2&gt;0,H47/((G47+H47)/2),0)</f>
        <v>1.2</v>
      </c>
      <c r="L47" s="26" t="n">
        <f aca="false">Stock_Summary!J40-Stock_Summary!I40</f>
        <v>66</v>
      </c>
      <c r="M47" s="19" t="n">
        <f aca="false">L47*H47</f>
        <v>14850</v>
      </c>
      <c r="N47" s="30" t="str">
        <f aca="false">IF(AND(H47=0,G47&gt;0),"DEAD STOCK",IF(J47&gt;180,"SLOW MOVING","OK"))</f>
        <v>OK</v>
      </c>
      <c r="P47" s="1" t="n">
        <v>39</v>
      </c>
      <c r="Q47" s="1" t="str">
        <f aca="false">INDEX($B$9:$B$63,MATCH(P47,$D$9:$D$63,0))</f>
        <v>BPR</v>
      </c>
      <c r="R47" s="12" t="n">
        <f aca="false">INDEX($C$9:$C$63,MATCH(P47,$D$9:$D$63,0))</f>
        <v>0</v>
      </c>
      <c r="S47" s="34" t="n">
        <f aca="false">INDEX($E$9:$E$63,MATCH(P47,$D$9:$D$63,0))</f>
        <v>1</v>
      </c>
    </row>
    <row r="48" customFormat="false" ht="15" hidden="false" customHeight="true" outlineLevel="0" collapsed="false">
      <c r="B48" s="26" t="str">
        <f aca="false">Stock_Summary!A41</f>
        <v>DCD</v>
      </c>
      <c r="C48" s="27" t="n">
        <f aca="false">Stock_Summary!L41</f>
        <v>0</v>
      </c>
      <c r="D48" s="28" t="n">
        <f aca="false">RANK(C48,$C$9:$C$63,0)+COUNTIF($C$9:C48,C48)-1</f>
        <v>46</v>
      </c>
      <c r="E48" s="29" t="n">
        <f aca="false">SUMIFS($C$9:$C$63,$D$9:$D$63,"&lt;="&amp;D48)/SUM($C$9:$C$63)</f>
        <v>1</v>
      </c>
      <c r="F48" s="30" t="str">
        <f aca="false">IF(E48&lt;=0.8,"A",IF(E48&lt;=0.95,"B","C"))</f>
        <v>C</v>
      </c>
      <c r="G48" s="31" t="n">
        <f aca="false">Stock_Summary!F41</f>
        <v>18</v>
      </c>
      <c r="H48" s="31" t="n">
        <f aca="false">Stock_Summary!D41</f>
        <v>0</v>
      </c>
      <c r="I48" s="28" t="n">
        <f aca="false">MAX(Transactions!$B:$B)-MIN(Transactions!$B:$B)+1</f>
        <v>107</v>
      </c>
      <c r="J48" s="32" t="n">
        <f aca="false">IF(H48&gt;0,G48*I48/H48,999)</f>
        <v>999</v>
      </c>
      <c r="K48" s="33" t="n">
        <f aca="false">IF((G48+H48)/2&gt;0,H48/((G48+H48)/2),0)</f>
        <v>0</v>
      </c>
      <c r="L48" s="26" t="n">
        <f aca="false">Stock_Summary!J41-Stock_Summary!I41</f>
        <v>20</v>
      </c>
      <c r="M48" s="19" t="n">
        <f aca="false">L48*H48</f>
        <v>0</v>
      </c>
      <c r="N48" s="30" t="str">
        <f aca="false">IF(AND(H48=0,G48&gt;0),"DEAD STOCK",IF(J48&gt;180,"SLOW MOVING","OK"))</f>
        <v>DEAD STOCK</v>
      </c>
      <c r="P48" s="1" t="n">
        <v>40</v>
      </c>
      <c r="Q48" s="1" t="str">
        <f aca="false">INDEX($B$9:$B$63,MATCH(P48,$D$9:$D$63,0))</f>
        <v>AC</v>
      </c>
      <c r="R48" s="12" t="n">
        <f aca="false">INDEX($C$9:$C$63,MATCH(P48,$D$9:$D$63,0))</f>
        <v>0</v>
      </c>
      <c r="S48" s="34" t="n">
        <f aca="false">INDEX($E$9:$E$63,MATCH(P48,$D$9:$D$63,0))</f>
        <v>1</v>
      </c>
    </row>
    <row r="49" customFormat="false" ht="15" hidden="false" customHeight="true" outlineLevel="0" collapsed="false">
      <c r="B49" s="26" t="str">
        <f aca="false">Stock_Summary!A42</f>
        <v>AM</v>
      </c>
      <c r="C49" s="27" t="n">
        <f aca="false">Stock_Summary!L42</f>
        <v>0</v>
      </c>
      <c r="D49" s="28" t="n">
        <f aca="false">RANK(C49,$C$9:$C$63,0)+COUNTIF($C$9:C49,C49)-1</f>
        <v>47</v>
      </c>
      <c r="E49" s="29" t="n">
        <f aca="false">SUMIFS($C$9:$C$63,$D$9:$D$63,"&lt;="&amp;D49)/SUM($C$9:$C$63)</f>
        <v>1</v>
      </c>
      <c r="F49" s="30" t="str">
        <f aca="false">IF(E49&lt;=0.8,"A",IF(E49&lt;=0.95,"B","C"))</f>
        <v>C</v>
      </c>
      <c r="G49" s="31" t="n">
        <f aca="false">Stock_Summary!F42</f>
        <v>15</v>
      </c>
      <c r="H49" s="31" t="n">
        <f aca="false">Stock_Summary!D42</f>
        <v>0</v>
      </c>
      <c r="I49" s="28" t="n">
        <f aca="false">MAX(Transactions!$B:$B)-MIN(Transactions!$B:$B)+1</f>
        <v>107</v>
      </c>
      <c r="J49" s="32" t="n">
        <f aca="false">IF(H49&gt;0,G49*I49/H49,999)</f>
        <v>999</v>
      </c>
      <c r="K49" s="33" t="n">
        <f aca="false">IF((G49+H49)/2&gt;0,H49/((G49+H49)/2),0)</f>
        <v>0</v>
      </c>
      <c r="L49" s="26" t="n">
        <f aca="false">Stock_Summary!J42-Stock_Summary!I42</f>
        <v>10</v>
      </c>
      <c r="M49" s="19" t="n">
        <f aca="false">L49*H49</f>
        <v>0</v>
      </c>
      <c r="N49" s="30" t="str">
        <f aca="false">IF(AND(H49=0,G49&gt;0),"DEAD STOCK",IF(J49&gt;180,"SLOW MOVING","OK"))</f>
        <v>DEAD STOCK</v>
      </c>
      <c r="P49" s="1" t="n">
        <v>41</v>
      </c>
      <c r="Q49" s="1" t="str">
        <f aca="false">INDEX($B$9:$B$63,MATCH(P49,$D$9:$D$63,0))</f>
        <v>EF</v>
      </c>
      <c r="R49" s="12" t="n">
        <f aca="false">INDEX($C$9:$C$63,MATCH(P49,$D$9:$D$63,0))</f>
        <v>0</v>
      </c>
      <c r="S49" s="34" t="n">
        <f aca="false">INDEX($E$9:$E$63,MATCH(P49,$D$9:$D$63,0))</f>
        <v>1</v>
      </c>
    </row>
    <row r="50" customFormat="false" ht="15" hidden="false" customHeight="true" outlineLevel="0" collapsed="false">
      <c r="B50" s="26" t="str">
        <f aca="false">Stock_Summary!A43</f>
        <v>NHI</v>
      </c>
      <c r="C50" s="27" t="n">
        <f aca="false">Stock_Summary!L43</f>
        <v>18000</v>
      </c>
      <c r="D50" s="28" t="n">
        <f aca="false">RANK(C50,$C$9:$C$63,0)+COUNTIF($C$9:C50,C50)-1</f>
        <v>32</v>
      </c>
      <c r="E50" s="29" t="n">
        <f aca="false">SUMIFS($C$9:$C$63,$D$9:$D$63,"&lt;="&amp;D50)/SUM($C$9:$C$63)</f>
        <v>0.998552059938824</v>
      </c>
      <c r="F50" s="30" t="str">
        <f aca="false">IF(E50&lt;=0.8,"A",IF(E50&lt;=0.95,"B","C"))</f>
        <v>C</v>
      </c>
      <c r="G50" s="31" t="n">
        <f aca="false">Stock_Summary!F43</f>
        <v>0</v>
      </c>
      <c r="H50" s="31" t="n">
        <f aca="false">Stock_Summary!D43</f>
        <v>150</v>
      </c>
      <c r="I50" s="28" t="n">
        <f aca="false">MAX(Transactions!$B:$B)-MIN(Transactions!$B:$B)+1</f>
        <v>107</v>
      </c>
      <c r="J50" s="32" t="n">
        <f aca="false">IF(H50&gt;0,G50*I50/H50,999)</f>
        <v>0</v>
      </c>
      <c r="K50" s="33" t="n">
        <f aca="false">IF((G50+H50)/2&gt;0,H50/((G50+H50)/2),0)</f>
        <v>2</v>
      </c>
      <c r="L50" s="26" t="n">
        <f aca="false">Stock_Summary!J43-Stock_Summary!I43</f>
        <v>20</v>
      </c>
      <c r="M50" s="19" t="n">
        <f aca="false">L50*H50</f>
        <v>3000</v>
      </c>
      <c r="N50" s="30" t="str">
        <f aca="false">IF(AND(H50=0,G50&gt;0),"DEAD STOCK",IF(J50&gt;180,"SLOW MOVING","OK"))</f>
        <v>OK</v>
      </c>
      <c r="P50" s="1" t="n">
        <v>42</v>
      </c>
      <c r="Q50" s="1" t="str">
        <f aca="false">INDEX($B$9:$B$63,MATCH(P50,$D$9:$D$63,0))</f>
        <v>PBS</v>
      </c>
      <c r="R50" s="12" t="n">
        <f aca="false">INDEX($C$9:$C$63,MATCH(P50,$D$9:$D$63,0))</f>
        <v>0</v>
      </c>
      <c r="S50" s="34" t="n">
        <f aca="false">INDEX($E$9:$E$63,MATCH(P50,$D$9:$D$63,0))</f>
        <v>1</v>
      </c>
    </row>
    <row r="51" customFormat="false" ht="15" hidden="false" customHeight="true" outlineLevel="0" collapsed="false">
      <c r="B51" s="26" t="str">
        <f aca="false">Stock_Summary!A44</f>
        <v>NSCI</v>
      </c>
      <c r="C51" s="27" t="n">
        <f aca="false">Stock_Summary!L44</f>
        <v>106080</v>
      </c>
      <c r="D51" s="28" t="n">
        <f aca="false">RANK(C51,$C$9:$C$63,0)+COUNTIF($C$9:C51,C51)-1</f>
        <v>23</v>
      </c>
      <c r="E51" s="29" t="n">
        <f aca="false">SUMIFS($C$9:$C$63,$D$9:$D$63,"&lt;="&amp;D51)/SUM($C$9:$C$63)</f>
        <v>0.967006554937643</v>
      </c>
      <c r="F51" s="30" t="str">
        <f aca="false">IF(E51&lt;=0.8,"A",IF(E51&lt;=0.95,"B","C"))</f>
        <v>C</v>
      </c>
      <c r="G51" s="31" t="n">
        <f aca="false">Stock_Summary!F44</f>
        <v>120</v>
      </c>
      <c r="H51" s="31" t="n">
        <f aca="false">Stock_Summary!D44</f>
        <v>480</v>
      </c>
      <c r="I51" s="28" t="n">
        <f aca="false">MAX(Transactions!$B:$B)-MIN(Transactions!$B:$B)+1</f>
        <v>107</v>
      </c>
      <c r="J51" s="32" t="n">
        <f aca="false">IF(H51&gt;0,G51*I51/H51,999)</f>
        <v>26.75</v>
      </c>
      <c r="K51" s="33" t="n">
        <f aca="false">IF((G51+H51)/2&gt;0,H51/((G51+H51)/2),0)</f>
        <v>1.6</v>
      </c>
      <c r="L51" s="26" t="n">
        <f aca="false">Stock_Summary!J44-Stock_Summary!I44</f>
        <v>56</v>
      </c>
      <c r="M51" s="19" t="n">
        <f aca="false">L51*H51</f>
        <v>26880</v>
      </c>
      <c r="N51" s="30" t="str">
        <f aca="false">IF(AND(H51=0,G51&gt;0),"DEAD STOCK",IF(J51&gt;180,"SLOW MOVING","OK"))</f>
        <v>OK</v>
      </c>
      <c r="P51" s="1" t="n">
        <v>43</v>
      </c>
      <c r="Q51" s="1" t="str">
        <f aca="false">INDEX($B$9:$B$63,MATCH(P51,$D$9:$D$63,0))</f>
        <v>G50</v>
      </c>
      <c r="R51" s="12" t="n">
        <f aca="false">INDEX($C$9:$C$63,MATCH(P51,$D$9:$D$63,0))</f>
        <v>0</v>
      </c>
      <c r="S51" s="34" t="n">
        <f aca="false">INDEX($E$9:$E$63,MATCH(P51,$D$9:$D$63,0))</f>
        <v>1</v>
      </c>
    </row>
    <row r="52" customFormat="false" ht="15" hidden="false" customHeight="true" outlineLevel="0" collapsed="false">
      <c r="B52" s="26" t="str">
        <f aca="false">Stock_Summary!A45</f>
        <v>LA</v>
      </c>
      <c r="C52" s="27" t="n">
        <f aca="false">Stock_Summary!L45</f>
        <v>0</v>
      </c>
      <c r="D52" s="28" t="n">
        <f aca="false">RANK(C52,$C$9:$C$63,0)+COUNTIF($C$9:C52,C52)-1</f>
        <v>48</v>
      </c>
      <c r="E52" s="29" t="n">
        <f aca="false">SUMIFS($C$9:$C$63,$D$9:$D$63,"&lt;="&amp;D52)/SUM($C$9:$C$63)</f>
        <v>1</v>
      </c>
      <c r="F52" s="30" t="str">
        <f aca="false">IF(E52&lt;=0.8,"A",IF(E52&lt;=0.95,"B","C"))</f>
        <v>C</v>
      </c>
      <c r="G52" s="31" t="n">
        <f aca="false">Stock_Summary!F45</f>
        <v>210</v>
      </c>
      <c r="H52" s="31" t="n">
        <f aca="false">Stock_Summary!D45</f>
        <v>0</v>
      </c>
      <c r="I52" s="28" t="n">
        <f aca="false">MAX(Transactions!$B:$B)-MIN(Transactions!$B:$B)+1</f>
        <v>107</v>
      </c>
      <c r="J52" s="32" t="n">
        <f aca="false">IF(H52&gt;0,G52*I52/H52,999)</f>
        <v>999</v>
      </c>
      <c r="K52" s="33" t="n">
        <f aca="false">IF((G52+H52)/2&gt;0,H52/((G52+H52)/2),0)</f>
        <v>0</v>
      </c>
      <c r="L52" s="26" t="n">
        <f aca="false">Stock_Summary!J45-Stock_Summary!I45</f>
        <v>30</v>
      </c>
      <c r="M52" s="19" t="n">
        <f aca="false">L52*H52</f>
        <v>0</v>
      </c>
      <c r="N52" s="30" t="str">
        <f aca="false">IF(AND(H52=0,G52&gt;0),"DEAD STOCK",IF(J52&gt;180,"SLOW MOVING","OK"))</f>
        <v>DEAD STOCK</v>
      </c>
      <c r="P52" s="1" t="n">
        <v>44</v>
      </c>
      <c r="Q52" s="1" t="str">
        <f aca="false">INDEX($B$9:$B$63,MATCH(P52,$D$9:$D$63,0))</f>
        <v>SUM</v>
      </c>
      <c r="R52" s="12" t="n">
        <f aca="false">INDEX($C$9:$C$63,MATCH(P52,$D$9:$D$63,0))</f>
        <v>0</v>
      </c>
      <c r="S52" s="34" t="n">
        <f aca="false">INDEX($E$9:$E$63,MATCH(P52,$D$9:$D$63,0))</f>
        <v>1</v>
      </c>
    </row>
    <row r="53" customFormat="false" ht="15" hidden="false" customHeight="true" outlineLevel="0" collapsed="false">
      <c r="B53" s="26" t="str">
        <f aca="false">Stock_Summary!A46</f>
        <v>FCTI</v>
      </c>
      <c r="C53" s="27" t="n">
        <f aca="false">Stock_Summary!L46</f>
        <v>0</v>
      </c>
      <c r="D53" s="28" t="n">
        <f aca="false">RANK(C53,$C$9:$C$63,0)+COUNTIF($C$9:C53,C53)-1</f>
        <v>49</v>
      </c>
      <c r="E53" s="29" t="n">
        <f aca="false">SUMIFS($C$9:$C$63,$D$9:$D$63,"&lt;="&amp;D53)/SUM($C$9:$C$63)</f>
        <v>1</v>
      </c>
      <c r="F53" s="30" t="str">
        <f aca="false">IF(E53&lt;=0.8,"A",IF(E53&lt;=0.95,"B","C"))</f>
        <v>C</v>
      </c>
      <c r="G53" s="31" t="n">
        <f aca="false">Stock_Summary!F46</f>
        <v>50</v>
      </c>
      <c r="H53" s="31" t="n">
        <f aca="false">Stock_Summary!D46</f>
        <v>0</v>
      </c>
      <c r="I53" s="28" t="n">
        <f aca="false">MAX(Transactions!$B:$B)-MIN(Transactions!$B:$B)+1</f>
        <v>107</v>
      </c>
      <c r="J53" s="32" t="n">
        <f aca="false">IF(H53&gt;0,G53*I53/H53,999)</f>
        <v>999</v>
      </c>
      <c r="K53" s="33" t="n">
        <f aca="false">IF((G53+H53)/2&gt;0,H53/((G53+H53)/2),0)</f>
        <v>0</v>
      </c>
      <c r="L53" s="26" t="n">
        <f aca="false">Stock_Summary!J46-Stock_Summary!I46</f>
        <v>15</v>
      </c>
      <c r="M53" s="19" t="n">
        <f aca="false">L53*H53</f>
        <v>0</v>
      </c>
      <c r="N53" s="30" t="str">
        <f aca="false">IF(AND(H53=0,G53&gt;0),"DEAD STOCK",IF(J53&gt;180,"SLOW MOVING","OK"))</f>
        <v>DEAD STOCK</v>
      </c>
      <c r="P53" s="1" t="n">
        <v>45</v>
      </c>
      <c r="Q53" s="1" t="str">
        <f aca="false">INDEX($B$9:$B$63,MATCH(P53,$D$9:$D$63,0))</f>
        <v>ITS</v>
      </c>
      <c r="R53" s="12" t="n">
        <f aca="false">INDEX($C$9:$C$63,MATCH(P53,$D$9:$D$63,0))</f>
        <v>0</v>
      </c>
      <c r="S53" s="34" t="n">
        <f aca="false">INDEX($E$9:$E$63,MATCH(P53,$D$9:$D$63,0))</f>
        <v>1</v>
      </c>
    </row>
    <row r="54" customFormat="false" ht="15" hidden="false" customHeight="true" outlineLevel="0" collapsed="false">
      <c r="B54" s="26" t="str">
        <f aca="false">Stock_Summary!A47</f>
        <v>FCMI</v>
      </c>
      <c r="C54" s="27" t="n">
        <f aca="false">Stock_Summary!L47</f>
        <v>0</v>
      </c>
      <c r="D54" s="28" t="n">
        <f aca="false">RANK(C54,$C$9:$C$63,0)+COUNTIF($C$9:C54,C54)-1</f>
        <v>50</v>
      </c>
      <c r="E54" s="29" t="n">
        <f aca="false">SUMIFS($C$9:$C$63,$D$9:$D$63,"&lt;="&amp;D54)/SUM($C$9:$C$63)</f>
        <v>1</v>
      </c>
      <c r="F54" s="30" t="str">
        <f aca="false">IF(E54&lt;=0.8,"A",IF(E54&lt;=0.95,"B","C"))</f>
        <v>C</v>
      </c>
      <c r="G54" s="31" t="n">
        <f aca="false">Stock_Summary!F47</f>
        <v>225</v>
      </c>
      <c r="H54" s="31" t="n">
        <f aca="false">Stock_Summary!D47</f>
        <v>0</v>
      </c>
      <c r="I54" s="28" t="n">
        <f aca="false">MAX(Transactions!$B:$B)-MIN(Transactions!$B:$B)+1</f>
        <v>107</v>
      </c>
      <c r="J54" s="32" t="n">
        <f aca="false">IF(H54&gt;0,G54*I54/H54,999)</f>
        <v>999</v>
      </c>
      <c r="K54" s="33" t="n">
        <f aca="false">IF((G54+H54)/2&gt;0,H54/((G54+H54)/2),0)</f>
        <v>0</v>
      </c>
      <c r="L54" s="26" t="n">
        <f aca="false">Stock_Summary!J47-Stock_Summary!I47</f>
        <v>15</v>
      </c>
      <c r="M54" s="19" t="n">
        <f aca="false">L54*H54</f>
        <v>0</v>
      </c>
      <c r="N54" s="30" t="str">
        <f aca="false">IF(AND(H54=0,G54&gt;0),"DEAD STOCK",IF(J54&gt;180,"SLOW MOVING","OK"))</f>
        <v>DEAD STOCK</v>
      </c>
      <c r="P54" s="1" t="n">
        <v>46</v>
      </c>
      <c r="Q54" s="1" t="str">
        <f aca="false">INDEX($B$9:$B$63,MATCH(P54,$D$9:$D$63,0))</f>
        <v>DCD</v>
      </c>
      <c r="R54" s="12" t="n">
        <f aca="false">INDEX($C$9:$C$63,MATCH(P54,$D$9:$D$63,0))</f>
        <v>0</v>
      </c>
      <c r="S54" s="34" t="n">
        <f aca="false">INDEX($E$9:$E$63,MATCH(P54,$D$9:$D$63,0))</f>
        <v>1</v>
      </c>
    </row>
    <row r="55" customFormat="false" ht="15" hidden="false" customHeight="true" outlineLevel="0" collapsed="false">
      <c r="B55" s="26" t="str">
        <f aca="false">Stock_Summary!A48</f>
        <v>WTI</v>
      </c>
      <c r="C55" s="27" t="n">
        <f aca="false">Stock_Summary!L48</f>
        <v>314</v>
      </c>
      <c r="D55" s="28" t="n">
        <f aca="false">RANK(C55,$C$9:$C$63,0)+COUNTIF($C$9:C55,C55)-1</f>
        <v>36</v>
      </c>
      <c r="E55" s="29" t="n">
        <f aca="false">SUMIFS($C$9:$C$63,$D$9:$D$63,"&lt;="&amp;D55)/SUM($C$9:$C$63)</f>
        <v>1</v>
      </c>
      <c r="F55" s="30" t="str">
        <f aca="false">IF(E55&lt;=0.8,"A",IF(E55&lt;=0.95,"B","C"))</f>
        <v>C</v>
      </c>
      <c r="G55" s="31" t="n">
        <f aca="false">Stock_Summary!F48</f>
        <v>148</v>
      </c>
      <c r="H55" s="31" t="n">
        <f aca="false">Stock_Summary!D48</f>
        <v>2</v>
      </c>
      <c r="I55" s="28" t="n">
        <f aca="false">MAX(Transactions!$B:$B)-MIN(Transactions!$B:$B)+1</f>
        <v>107</v>
      </c>
      <c r="J55" s="32" t="n">
        <f aca="false">IF(H55&gt;0,G55*I55/H55,999)</f>
        <v>7918</v>
      </c>
      <c r="K55" s="33" t="n">
        <f aca="false">IF((G55+H55)/2&gt;0,H55/((G55+H55)/2),0)</f>
        <v>0.0266666666666667</v>
      </c>
      <c r="L55" s="26" t="n">
        <f aca="false">Stock_Summary!J48-Stock_Summary!I48</f>
        <v>32</v>
      </c>
      <c r="M55" s="19" t="n">
        <f aca="false">L55*H55</f>
        <v>64</v>
      </c>
      <c r="N55" s="30" t="str">
        <f aca="false">IF(AND(H55=0,G55&gt;0),"DEAD STOCK",IF(J55&gt;180,"SLOW MOVING","OK"))</f>
        <v>SLOW MOVING</v>
      </c>
      <c r="P55" s="1" t="n">
        <v>47</v>
      </c>
      <c r="Q55" s="1" t="str">
        <f aca="false">INDEX($B$9:$B$63,MATCH(P55,$D$9:$D$63,0))</f>
        <v>AM</v>
      </c>
      <c r="R55" s="12" t="n">
        <f aca="false">INDEX($C$9:$C$63,MATCH(P55,$D$9:$D$63,0))</f>
        <v>0</v>
      </c>
      <c r="S55" s="34" t="n">
        <f aca="false">INDEX($E$9:$E$63,MATCH(P55,$D$9:$D$63,0))</f>
        <v>1</v>
      </c>
    </row>
    <row r="56" customFormat="false" ht="15" hidden="false" customHeight="true" outlineLevel="0" collapsed="false">
      <c r="B56" s="26" t="str">
        <f aca="false">Stock_Summary!A49</f>
        <v>FD</v>
      </c>
      <c r="C56" s="27" t="n">
        <f aca="false">Stock_Summary!L49</f>
        <v>3000</v>
      </c>
      <c r="D56" s="28" t="n">
        <f aca="false">RANK(C56,$C$9:$C$63,0)+COUNTIF($C$9:C56,C56)-1</f>
        <v>34</v>
      </c>
      <c r="E56" s="29" t="n">
        <f aca="false">SUMIFS($C$9:$C$63,$D$9:$D$63,"&lt;="&amp;D56)/SUM($C$9:$C$63)</f>
        <v>0.999780168557294</v>
      </c>
      <c r="F56" s="30" t="str">
        <f aca="false">IF(E56&lt;=0.8,"A",IF(E56&lt;=0.95,"B","C"))</f>
        <v>C</v>
      </c>
      <c r="G56" s="31" t="n">
        <f aca="false">Stock_Summary!F49</f>
        <v>200</v>
      </c>
      <c r="H56" s="31" t="n">
        <f aca="false">Stock_Summary!D49</f>
        <v>25</v>
      </c>
      <c r="I56" s="28" t="n">
        <f aca="false">MAX(Transactions!$B:$B)-MIN(Transactions!$B:$B)+1</f>
        <v>107</v>
      </c>
      <c r="J56" s="32" t="n">
        <f aca="false">IF(H56&gt;0,G56*I56/H56,999)</f>
        <v>856</v>
      </c>
      <c r="K56" s="33" t="n">
        <f aca="false">IF((G56+H56)/2&gt;0,H56/((G56+H56)/2),0)</f>
        <v>0.222222222222222</v>
      </c>
      <c r="L56" s="26" t="n">
        <f aca="false">Stock_Summary!J49-Stock_Summary!I49</f>
        <v>20</v>
      </c>
      <c r="M56" s="19" t="n">
        <f aca="false">L56*H56</f>
        <v>500</v>
      </c>
      <c r="N56" s="30" t="str">
        <f aca="false">IF(AND(H56=0,G56&gt;0),"DEAD STOCK",IF(J56&gt;180,"SLOW MOVING","OK"))</f>
        <v>SLOW MOVING</v>
      </c>
      <c r="P56" s="1" t="n">
        <v>48</v>
      </c>
      <c r="Q56" s="1" t="str">
        <f aca="false">INDEX($B$9:$B$63,MATCH(P56,$D$9:$D$63,0))</f>
        <v>LA</v>
      </c>
      <c r="R56" s="12" t="n">
        <f aca="false">INDEX($C$9:$C$63,MATCH(P56,$D$9:$D$63,0))</f>
        <v>0</v>
      </c>
      <c r="S56" s="34" t="n">
        <f aca="false">INDEX($E$9:$E$63,MATCH(P56,$D$9:$D$63,0))</f>
        <v>1</v>
      </c>
    </row>
    <row r="57" customFormat="false" ht="15" hidden="false" customHeight="true" outlineLevel="0" collapsed="false">
      <c r="B57" s="26" t="str">
        <f aca="false">Stock_Summary!A50</f>
        <v>RPN</v>
      </c>
      <c r="C57" s="27" t="n">
        <f aca="false">Stock_Summary!L50</f>
        <v>0</v>
      </c>
      <c r="D57" s="28" t="n">
        <f aca="false">RANK(C57,$C$9:$C$63,0)+COUNTIF($C$9:C57,C57)-1</f>
        <v>51</v>
      </c>
      <c r="E57" s="29" t="n">
        <f aca="false">SUMIFS($C$9:$C$63,$D$9:$D$63,"&lt;="&amp;D57)/SUM($C$9:$C$63)</f>
        <v>1</v>
      </c>
      <c r="F57" s="30" t="str">
        <f aca="false">IF(E57&lt;=0.8,"A",IF(E57&lt;=0.95,"B","C"))</f>
        <v>C</v>
      </c>
      <c r="G57" s="31" t="n">
        <f aca="false">Stock_Summary!F50</f>
        <v>157</v>
      </c>
      <c r="H57" s="31" t="n">
        <f aca="false">Stock_Summary!D50</f>
        <v>0</v>
      </c>
      <c r="I57" s="28" t="n">
        <f aca="false">MAX(Transactions!$B:$B)-MIN(Transactions!$B:$B)+1</f>
        <v>107</v>
      </c>
      <c r="J57" s="32" t="n">
        <f aca="false">IF(H57&gt;0,G57*I57/H57,999)</f>
        <v>999</v>
      </c>
      <c r="K57" s="33" t="n">
        <f aca="false">IF((G57+H57)/2&gt;0,H57/((G57+H57)/2),0)</f>
        <v>0</v>
      </c>
      <c r="L57" s="26" t="n">
        <f aca="false">Stock_Summary!J50-Stock_Summary!I50</f>
        <v>20</v>
      </c>
      <c r="M57" s="19" t="n">
        <f aca="false">L57*H57</f>
        <v>0</v>
      </c>
      <c r="N57" s="30" t="str">
        <f aca="false">IF(AND(H57=0,G57&gt;0),"DEAD STOCK",IF(J57&gt;180,"SLOW MOVING","OK"))</f>
        <v>DEAD STOCK</v>
      </c>
      <c r="P57" s="1" t="n">
        <v>49</v>
      </c>
      <c r="Q57" s="1" t="str">
        <f aca="false">INDEX($B$9:$B$63,MATCH(P57,$D$9:$D$63,0))</f>
        <v>FCTI</v>
      </c>
      <c r="R57" s="12" t="n">
        <f aca="false">INDEX($C$9:$C$63,MATCH(P57,$D$9:$D$63,0))</f>
        <v>0</v>
      </c>
      <c r="S57" s="34" t="n">
        <f aca="false">INDEX($E$9:$E$63,MATCH(P57,$D$9:$D$63,0))</f>
        <v>1</v>
      </c>
    </row>
    <row r="58" customFormat="false" ht="15" hidden="false" customHeight="true" outlineLevel="0" collapsed="false">
      <c r="B58" s="26" t="str">
        <f aca="false">Stock_Summary!A51</f>
        <v>OX90</v>
      </c>
      <c r="C58" s="27" t="n">
        <f aca="false">Stock_Summary!L51</f>
        <v>0</v>
      </c>
      <c r="D58" s="28" t="n">
        <f aca="false">RANK(C58,$C$9:$C$63,0)+COUNTIF($C$9:C58,C58)-1</f>
        <v>52</v>
      </c>
      <c r="E58" s="29" t="n">
        <f aca="false">SUMIFS($C$9:$C$63,$D$9:$D$63,"&lt;="&amp;D58)/SUM($C$9:$C$63)</f>
        <v>1</v>
      </c>
      <c r="F58" s="30" t="str">
        <f aca="false">IF(E58&lt;=0.8,"A",IF(E58&lt;=0.95,"B","C"))</f>
        <v>C</v>
      </c>
      <c r="G58" s="31" t="n">
        <f aca="false">Stock_Summary!F51</f>
        <v>50</v>
      </c>
      <c r="H58" s="31" t="n">
        <f aca="false">Stock_Summary!D51</f>
        <v>0</v>
      </c>
      <c r="I58" s="28" t="n">
        <f aca="false">MAX(Transactions!$B:$B)-MIN(Transactions!$B:$B)+1</f>
        <v>107</v>
      </c>
      <c r="J58" s="32" t="n">
        <f aca="false">IF(H58&gt;0,G58*I58/H58,999)</f>
        <v>999</v>
      </c>
      <c r="K58" s="33" t="n">
        <f aca="false">IF((G58+H58)/2&gt;0,H58/((G58+H58)/2),0)</f>
        <v>0</v>
      </c>
      <c r="L58" s="26" t="n">
        <f aca="false">Stock_Summary!J51-Stock_Summary!I51</f>
        <v>30</v>
      </c>
      <c r="M58" s="19" t="n">
        <f aca="false">L58*H58</f>
        <v>0</v>
      </c>
      <c r="N58" s="30" t="str">
        <f aca="false">IF(AND(H58=0,G58&gt;0),"DEAD STOCK",IF(J58&gt;180,"SLOW MOVING","OK"))</f>
        <v>DEAD STOCK</v>
      </c>
      <c r="P58" s="1" t="n">
        <v>50</v>
      </c>
      <c r="Q58" s="1" t="str">
        <f aca="false">INDEX($B$9:$B$63,MATCH(P58,$D$9:$D$63,0))</f>
        <v>FCMI</v>
      </c>
      <c r="R58" s="12" t="n">
        <f aca="false">INDEX($C$9:$C$63,MATCH(P58,$D$9:$D$63,0))</f>
        <v>0</v>
      </c>
      <c r="S58" s="34" t="n">
        <f aca="false">INDEX($E$9:$E$63,MATCH(P58,$D$9:$D$63,0))</f>
        <v>1</v>
      </c>
    </row>
    <row r="59" customFormat="false" ht="15" hidden="false" customHeight="true" outlineLevel="0" collapsed="false">
      <c r="B59" s="26" t="str">
        <f aca="false">Stock_Summary!A52</f>
        <v>RP7</v>
      </c>
      <c r="C59" s="27" t="n">
        <f aca="false">Stock_Summary!L52</f>
        <v>0</v>
      </c>
      <c r="D59" s="28" t="n">
        <f aca="false">RANK(C59,$C$9:$C$63,0)+COUNTIF($C$9:C59,C59)-1</f>
        <v>53</v>
      </c>
      <c r="E59" s="29" t="n">
        <f aca="false">SUMIFS($C$9:$C$63,$D$9:$D$63,"&lt;="&amp;D59)/SUM($C$9:$C$63)</f>
        <v>1</v>
      </c>
      <c r="F59" s="30" t="str">
        <f aca="false">IF(E59&lt;=0.8,"A",IF(E59&lt;=0.95,"B","C"))</f>
        <v>C</v>
      </c>
      <c r="G59" s="31" t="n">
        <f aca="false">Stock_Summary!F52</f>
        <v>72</v>
      </c>
      <c r="H59" s="31" t="n">
        <f aca="false">Stock_Summary!D52</f>
        <v>0</v>
      </c>
      <c r="I59" s="28" t="n">
        <f aca="false">MAX(Transactions!$B:$B)-MIN(Transactions!$B:$B)+1</f>
        <v>107</v>
      </c>
      <c r="J59" s="32" t="n">
        <f aca="false">IF(H59&gt;0,G59*I59/H59,999)</f>
        <v>999</v>
      </c>
      <c r="K59" s="33" t="n">
        <f aca="false">IF((G59+H59)/2&gt;0,H59/((G59+H59)/2),0)</f>
        <v>0</v>
      </c>
      <c r="L59" s="26" t="n">
        <f aca="false">Stock_Summary!J52-Stock_Summary!I52</f>
        <v>25</v>
      </c>
      <c r="M59" s="19" t="n">
        <f aca="false">L59*H59</f>
        <v>0</v>
      </c>
      <c r="N59" s="30" t="str">
        <f aca="false">IF(AND(H59=0,G59&gt;0),"DEAD STOCK",IF(J59&gt;180,"SLOW MOVING","OK"))</f>
        <v>DEAD STOCK</v>
      </c>
      <c r="P59" s="1" t="n">
        <v>51</v>
      </c>
      <c r="Q59" s="1" t="str">
        <f aca="false">INDEX($B$9:$B$63,MATCH(P59,$D$9:$D$63,0))</f>
        <v>RPN</v>
      </c>
      <c r="R59" s="12" t="n">
        <f aca="false">INDEX($C$9:$C$63,MATCH(P59,$D$9:$D$63,0))</f>
        <v>0</v>
      </c>
      <c r="S59" s="34" t="n">
        <f aca="false">INDEX($E$9:$E$63,MATCH(P59,$D$9:$D$63,0))</f>
        <v>1</v>
      </c>
    </row>
    <row r="60" customFormat="false" ht="15" hidden="false" customHeight="true" outlineLevel="0" collapsed="false">
      <c r="B60" s="26" t="str">
        <f aca="false">Stock_Summary!A53</f>
        <v>MDI</v>
      </c>
      <c r="C60" s="27" t="n">
        <f aca="false">Stock_Summary!L53</f>
        <v>0</v>
      </c>
      <c r="D60" s="28" t="n">
        <f aca="false">RANK(C60,$C$9:$C$63,0)+COUNTIF($C$9:C60,C60)-1</f>
        <v>54</v>
      </c>
      <c r="E60" s="29" t="n">
        <f aca="false">SUMIFS($C$9:$C$63,$D$9:$D$63,"&lt;="&amp;D60)/SUM($C$9:$C$63)</f>
        <v>1</v>
      </c>
      <c r="F60" s="30" t="str">
        <f aca="false">IF(E60&lt;=0.8,"A",IF(E60&lt;=0.95,"B","C"))</f>
        <v>C</v>
      </c>
      <c r="G60" s="31" t="n">
        <f aca="false">Stock_Summary!F53</f>
        <v>28</v>
      </c>
      <c r="H60" s="31" t="n">
        <f aca="false">Stock_Summary!D53</f>
        <v>0</v>
      </c>
      <c r="I60" s="28" t="n">
        <f aca="false">MAX(Transactions!$B:$B)-MIN(Transactions!$B:$B)+1</f>
        <v>107</v>
      </c>
      <c r="J60" s="32" t="n">
        <f aca="false">IF(H60&gt;0,G60*I60/H60,999)</f>
        <v>999</v>
      </c>
      <c r="K60" s="33" t="n">
        <f aca="false">IF((G60+H60)/2&gt;0,H60/((G60+H60)/2),0)</f>
        <v>0</v>
      </c>
      <c r="L60" s="26" t="n">
        <f aca="false">Stock_Summary!J53-Stock_Summary!I53</f>
        <v>25</v>
      </c>
      <c r="M60" s="19" t="n">
        <f aca="false">L60*H60</f>
        <v>0</v>
      </c>
      <c r="N60" s="30" t="str">
        <f aca="false">IF(AND(H60=0,G60&gt;0),"DEAD STOCK",IF(J60&gt;180,"SLOW MOVING","OK"))</f>
        <v>DEAD STOCK</v>
      </c>
      <c r="P60" s="1" t="n">
        <v>52</v>
      </c>
      <c r="Q60" s="1" t="str">
        <f aca="false">INDEX($B$9:$B$63,MATCH(P60,$D$9:$D$63,0))</f>
        <v>OX90</v>
      </c>
      <c r="R60" s="12" t="n">
        <f aca="false">INDEX($C$9:$C$63,MATCH(P60,$D$9:$D$63,0))</f>
        <v>0</v>
      </c>
      <c r="S60" s="34" t="n">
        <f aca="false">INDEX($E$9:$E$63,MATCH(P60,$D$9:$D$63,0))</f>
        <v>1</v>
      </c>
    </row>
    <row r="61" customFormat="false" ht="15" hidden="false" customHeight="true" outlineLevel="0" collapsed="false">
      <c r="B61" s="26" t="str">
        <f aca="false">Stock_Summary!A54</f>
        <v>KI</v>
      </c>
      <c r="C61" s="27" t="n">
        <f aca="false">Stock_Summary!L54</f>
        <v>0</v>
      </c>
      <c r="D61" s="28" t="n">
        <f aca="false">RANK(C61,$C$9:$C$63,0)+COUNTIF($C$9:C61,C61)-1</f>
        <v>55</v>
      </c>
      <c r="E61" s="29" t="n">
        <f aca="false">SUMIFS($C$9:$C$63,$D$9:$D$63,"&lt;="&amp;D61)/SUM($C$9:$C$63)</f>
        <v>1</v>
      </c>
      <c r="F61" s="30" t="str">
        <f aca="false">IF(E61&lt;=0.8,"A",IF(E61&lt;=0.95,"B","C"))</f>
        <v>C</v>
      </c>
      <c r="G61" s="31" t="n">
        <f aca="false">Stock_Summary!F54</f>
        <v>240</v>
      </c>
      <c r="H61" s="31" t="n">
        <f aca="false">Stock_Summary!D54</f>
        <v>0</v>
      </c>
      <c r="I61" s="28" t="n">
        <f aca="false">MAX(Transactions!$B:$B)-MIN(Transactions!$B:$B)+1</f>
        <v>107</v>
      </c>
      <c r="J61" s="32" t="n">
        <f aca="false">IF(H61&gt;0,G61*I61/H61,999)</f>
        <v>999</v>
      </c>
      <c r="K61" s="33" t="n">
        <f aca="false">IF((G61+H61)/2&gt;0,H61/((G61+H61)/2),0)</f>
        <v>0</v>
      </c>
      <c r="L61" s="26" t="n">
        <f aca="false">Stock_Summary!J54-Stock_Summary!I54</f>
        <v>18</v>
      </c>
      <c r="M61" s="19" t="n">
        <f aca="false">L61*H61</f>
        <v>0</v>
      </c>
      <c r="N61" s="30" t="str">
        <f aca="false">IF(AND(H61=0,G61&gt;0),"DEAD STOCK",IF(J61&gt;180,"SLOW MOVING","OK"))</f>
        <v>DEAD STOCK</v>
      </c>
      <c r="P61" s="1" t="n">
        <v>53</v>
      </c>
      <c r="Q61" s="1" t="str">
        <f aca="false">INDEX($B$9:$B$63,MATCH(P61,$D$9:$D$63,0))</f>
        <v>RP7</v>
      </c>
      <c r="R61" s="12" t="n">
        <f aca="false">INDEX($C$9:$C$63,MATCH(P61,$D$9:$D$63,0))</f>
        <v>0</v>
      </c>
      <c r="S61" s="34" t="n">
        <f aca="false">INDEX($E$9:$E$63,MATCH(P61,$D$9:$D$63,0))</f>
        <v>1</v>
      </c>
    </row>
    <row r="62" customFormat="false" ht="15" hidden="false" customHeight="true" outlineLevel="0" collapsed="false">
      <c r="B62" s="26" t="str">
        <f aca="false">Stock_Summary!A55</f>
        <v>XNB 900</v>
      </c>
      <c r="C62" s="27" t="n">
        <f aca="false">Stock_Summary!L55</f>
        <v>588600</v>
      </c>
      <c r="D62" s="28" t="n">
        <f aca="false">RANK(C62,$C$9:$C$63,0)+COUNTIF($C$9:C62,C62)-1</f>
        <v>6</v>
      </c>
      <c r="E62" s="29" t="n">
        <f aca="false">SUMIFS($C$9:$C$63,$D$9:$D$63,"&lt;="&amp;D62)/SUM($C$9:$C$63)</f>
        <v>0.599960457972757</v>
      </c>
      <c r="F62" s="30" t="str">
        <f aca="false">IF(E62&lt;=0.8,"A",IF(E62&lt;=0.95,"B","C"))</f>
        <v>A</v>
      </c>
      <c r="G62" s="31" t="n">
        <f aca="false">Stock_Summary!F55</f>
        <v>240</v>
      </c>
      <c r="H62" s="31" t="n">
        <f aca="false">Stock_Summary!D55</f>
        <v>2180</v>
      </c>
      <c r="I62" s="28" t="n">
        <f aca="false">MAX(Transactions!$B:$B)-MIN(Transactions!$B:$B)+1</f>
        <v>107</v>
      </c>
      <c r="J62" s="32" t="n">
        <f aca="false">IF(H62&gt;0,G62*I62/H62,999)</f>
        <v>11.7798165137615</v>
      </c>
      <c r="K62" s="33" t="n">
        <f aca="false">IF((G62+H62)/2&gt;0,H62/((G62+H62)/2),0)</f>
        <v>1.80165289256198</v>
      </c>
      <c r="L62" s="26" t="n">
        <f aca="false">Stock_Summary!J55-Stock_Summary!I55</f>
        <v>110</v>
      </c>
      <c r="M62" s="19" t="n">
        <f aca="false">L62*H62</f>
        <v>239800</v>
      </c>
      <c r="N62" s="30" t="str">
        <f aca="false">IF(AND(H62=0,G62&gt;0),"DEAD STOCK",IF(J62&gt;180,"SLOW MOVING","OK"))</f>
        <v>OK</v>
      </c>
      <c r="P62" s="1" t="n">
        <v>54</v>
      </c>
      <c r="Q62" s="1" t="str">
        <f aca="false">INDEX($B$9:$B$63,MATCH(P62,$D$9:$D$63,0))</f>
        <v>MDI</v>
      </c>
      <c r="R62" s="12" t="n">
        <f aca="false">INDEX($C$9:$C$63,MATCH(P62,$D$9:$D$63,0))</f>
        <v>0</v>
      </c>
      <c r="S62" s="34" t="n">
        <f aca="false">INDEX($E$9:$E$63,MATCH(P62,$D$9:$D$63,0))</f>
        <v>1</v>
      </c>
    </row>
    <row r="63" customFormat="false" ht="15" hidden="false" customHeight="true" outlineLevel="0" collapsed="false">
      <c r="B63" s="26" t="str">
        <f aca="false">Stock_Summary!A56</f>
        <v>CWET</v>
      </c>
      <c r="C63" s="27" t="n">
        <f aca="false">Stock_Summary!L56</f>
        <v>18130</v>
      </c>
      <c r="D63" s="28" t="n">
        <f aca="false">RANK(C63,$C$9:$C$63,0)+COUNTIF($C$9:C63,C63)-1</f>
        <v>31</v>
      </c>
      <c r="E63" s="29" t="n">
        <f aca="false">SUMIFS($C$9:$C$63,$D$9:$D$63,"&lt;="&amp;D63)/SUM($C$9:$C$63)</f>
        <v>0.997170437743045</v>
      </c>
      <c r="F63" s="30" t="str">
        <f aca="false">IF(E63&lt;=0.8,"A",IF(E63&lt;=0.95,"B","C"))</f>
        <v>C</v>
      </c>
      <c r="G63" s="31" t="n">
        <f aca="false">Stock_Summary!F56</f>
        <v>917</v>
      </c>
      <c r="H63" s="31" t="n">
        <f aca="false">Stock_Summary!D56</f>
        <v>74</v>
      </c>
      <c r="I63" s="28" t="n">
        <f aca="false">MAX(Transactions!$B:$B)-MIN(Transactions!$B:$B)+1</f>
        <v>107</v>
      </c>
      <c r="J63" s="32" t="n">
        <f aca="false">IF(H63&gt;0,G63*I63/H63,999)</f>
        <v>1325.93243243243</v>
      </c>
      <c r="K63" s="33" t="n">
        <f aca="false">IF((G63+H63)/2&gt;0,H63/((G63+H63)/2),0)</f>
        <v>0.149344096871847</v>
      </c>
      <c r="L63" s="26" t="n">
        <f aca="false">Stock_Summary!J56-Stock_Summary!I56</f>
        <v>200</v>
      </c>
      <c r="M63" s="19" t="n">
        <f aca="false">L63*H63</f>
        <v>14800</v>
      </c>
      <c r="N63" s="30" t="str">
        <f aca="false">IF(AND(H63=0,G63&gt;0),"DEAD STOCK",IF(J63&gt;180,"SLOW MOVING","OK"))</f>
        <v>SLOW MOVING</v>
      </c>
      <c r="P63" s="1" t="n">
        <v>55</v>
      </c>
      <c r="Q63" s="1" t="str">
        <f aca="false">INDEX($B$9:$B$63,MATCH(P63,$D$9:$D$63,0))</f>
        <v>KI</v>
      </c>
      <c r="R63" s="12" t="n">
        <f aca="false">INDEX($C$9:$C$63,MATCH(P63,$D$9:$D$63,0))</f>
        <v>0</v>
      </c>
      <c r="S63" s="34" t="n">
        <f aca="false">INDEX($E$9:$E$63,MATCH(P63,$D$9:$D$63,0))</f>
        <v>1</v>
      </c>
    </row>
    <row r="66" customFormat="false" ht="15.75" hidden="false" customHeight="true" outlineLevel="0" collapsed="false">
      <c r="B66" s="9" t="s">
        <v>235</v>
      </c>
    </row>
    <row r="67" customFormat="false" ht="15" hidden="false" customHeight="true" outlineLevel="0" collapsed="false">
      <c r="H67" s="10" t="s">
        <v>236</v>
      </c>
    </row>
    <row r="68" customFormat="false" ht="30" hidden="false" customHeight="true" outlineLevel="0" collapsed="false">
      <c r="B68" s="25" t="s">
        <v>237</v>
      </c>
      <c r="C68" s="25" t="s">
        <v>238</v>
      </c>
      <c r="D68" s="25" t="s">
        <v>239</v>
      </c>
      <c r="E68" s="25" t="s">
        <v>240</v>
      </c>
      <c r="F68" s="25" t="s">
        <v>29</v>
      </c>
      <c r="H68" s="11" t="s">
        <v>29</v>
      </c>
      <c r="I68" s="11" t="s">
        <v>237</v>
      </c>
      <c r="J68" s="11" t="s">
        <v>239</v>
      </c>
    </row>
    <row r="69" customFormat="false" ht="15" hidden="false" customHeight="true" outlineLevel="0" collapsed="false">
      <c r="B69" s="28" t="s">
        <v>119</v>
      </c>
      <c r="C69" s="28" t="n">
        <f aca="false">SUMIFS(Transactions!$H$2:$H$603,Transactions!$F$2:$F$603,B69,Transactions!$D$2:$D$603,"Sale")</f>
        <v>480</v>
      </c>
      <c r="D69" s="19" t="n">
        <f aca="false">SUMIFS(Transactions!$I$2:$I$603,Transactions!$F$2:$F$603,B69,Transactions!$D$2:$D$603,"Sale")</f>
        <v>71520</v>
      </c>
      <c r="E69" s="29" t="n">
        <f aca="false">IF(SUM($D$69:$D$164)&gt;0,D69/SUM($D$69:$D$164),0)</f>
        <v>0.00502162782525544</v>
      </c>
      <c r="F69" s="28" t="n">
        <f aca="false">RANK(D69,$D$69:$D$164,0)+COUNTIF($D$69:D69,D69)-1</f>
        <v>42</v>
      </c>
      <c r="H69" s="1" t="n">
        <v>1</v>
      </c>
      <c r="I69" s="1" t="str">
        <f aca="false">INDEX($B$69:$B$164,MATCH(H69,$F$69:$F$164,0))</f>
        <v>Labbaik International</v>
      </c>
      <c r="J69" s="12" t="n">
        <f aca="false">INDEX($D$69:$D$164,MATCH(H69,$F$69:$F$164,0))</f>
        <v>950640</v>
      </c>
    </row>
    <row r="70" customFormat="false" ht="15" hidden="false" customHeight="true" outlineLevel="0" collapsed="false">
      <c r="B70" s="28" t="s">
        <v>110</v>
      </c>
      <c r="C70" s="28" t="n">
        <f aca="false">SUMIFS(Transactions!$H$2:$H$603,Transactions!$F$2:$F$603,B70,Transactions!$D$2:$D$603,"Sale")</f>
        <v>1685</v>
      </c>
      <c r="D70" s="19" t="n">
        <f aca="false">SUMIFS(Transactions!$I$2:$I$603,Transactions!$F$2:$F$603,B70,Transactions!$D$2:$D$603,"Sale")</f>
        <v>205375</v>
      </c>
      <c r="E70" s="29" t="n">
        <f aca="false">IF(SUM($D$69:$D$164)&gt;0,D70/SUM($D$69:$D$164),0)</f>
        <v>0.0144199778329395</v>
      </c>
      <c r="F70" s="28" t="n">
        <f aca="false">RANK(D70,$D$69:$D$164,0)+COUNTIF($D$69:D70,D70)-1</f>
        <v>18</v>
      </c>
      <c r="H70" s="1" t="n">
        <v>2</v>
      </c>
      <c r="I70" s="1" t="str">
        <f aca="false">INDEX($B$69:$B$164,MATCH(H70,$F$69:$F$164,0))</f>
        <v>TIGER INTERNATIONAL</v>
      </c>
      <c r="J70" s="12" t="n">
        <f aca="false">INDEX($D$69:$D$164,MATCH(H70,$F$69:$F$164,0))</f>
        <v>944680</v>
      </c>
    </row>
    <row r="71" customFormat="false" ht="15" hidden="false" customHeight="true" outlineLevel="0" collapsed="false">
      <c r="B71" s="28" t="s">
        <v>109</v>
      </c>
      <c r="C71" s="28" t="n">
        <f aca="false">SUMIFS(Transactions!$H$2:$H$603,Transactions!$F$2:$F$603,B71,Transactions!$D$2:$D$603,"Sale")</f>
        <v>6690</v>
      </c>
      <c r="D71" s="19" t="n">
        <f aca="false">SUMIFS(Transactions!$I$2:$I$603,Transactions!$F$2:$F$603,B71,Transactions!$D$2:$D$603,"Sale")</f>
        <v>924690</v>
      </c>
      <c r="E71" s="29" t="n">
        <f aca="false">IF(SUM($D$69:$D$164)&gt;0,D71/SUM($D$69:$D$164),0)</f>
        <v>0.0649251822390304</v>
      </c>
      <c r="F71" s="28" t="n">
        <f aca="false">RANK(D71,$D$69:$D$164,0)+COUNTIF($D$69:D71,D71)-1</f>
        <v>4</v>
      </c>
      <c r="H71" s="1" t="n">
        <v>3</v>
      </c>
      <c r="I71" s="1" t="str">
        <f aca="false">INDEX($B$69:$B$164,MATCH(H71,$F$69:$F$164,0))</f>
        <v>Tiger International</v>
      </c>
      <c r="J71" s="12" t="n">
        <f aca="false">INDEX($D$69:$D$164,MATCH(H71,$F$69:$F$164,0))</f>
        <v>944680</v>
      </c>
    </row>
    <row r="72" customFormat="false" ht="15" hidden="false" customHeight="true" outlineLevel="0" collapsed="false">
      <c r="B72" s="28" t="s">
        <v>200</v>
      </c>
      <c r="C72" s="28" t="n">
        <f aca="false">SUMIFS(Transactions!$H$2:$H$603,Transactions!$F$2:$F$603,B72,Transactions!$D$2:$D$603,"Sale")</f>
        <v>380</v>
      </c>
      <c r="D72" s="19" t="n">
        <f aca="false">SUMIFS(Transactions!$I$2:$I$603,Transactions!$F$2:$F$603,B72,Transactions!$D$2:$D$603,"Sale")</f>
        <v>85850</v>
      </c>
      <c r="E72" s="29" t="n">
        <f aca="false">IF(SUM($D$69:$D$164)&gt;0,D72/SUM($D$69:$D$164),0)</f>
        <v>0.00602777892614904</v>
      </c>
      <c r="F72" s="28" t="n">
        <f aca="false">RANK(D72,$D$69:$D$164,0)+COUNTIF($D$69:D72,D72)-1</f>
        <v>40</v>
      </c>
      <c r="H72" s="1" t="n">
        <v>4</v>
      </c>
      <c r="I72" s="1" t="str">
        <f aca="false">INDEX($B$69:$B$164,MATCH(H72,$F$69:$F$164,0))</f>
        <v>A Z Enterprise</v>
      </c>
      <c r="J72" s="12" t="n">
        <f aca="false">INDEX($D$69:$D$164,MATCH(H72,$F$69:$F$164,0))</f>
        <v>924690</v>
      </c>
    </row>
    <row r="73" customFormat="false" ht="15" hidden="false" customHeight="true" outlineLevel="0" collapsed="false">
      <c r="B73" s="28" t="s">
        <v>129</v>
      </c>
      <c r="C73" s="28" t="n">
        <f aca="false">SUMIFS(Transactions!$H$2:$H$603,Transactions!$F$2:$F$603,B73,Transactions!$D$2:$D$603,"Sale")</f>
        <v>1200</v>
      </c>
      <c r="D73" s="19" t="n">
        <f aca="false">SUMIFS(Transactions!$I$2:$I$603,Transactions!$F$2:$F$603,B73,Transactions!$D$2:$D$603,"Sale")</f>
        <v>124800</v>
      </c>
      <c r="E73" s="29" t="n">
        <f aca="false">IF(SUM($D$69:$D$164)&gt;0,D73/SUM($D$69:$D$164),0)</f>
        <v>0.0087625720440699</v>
      </c>
      <c r="F73" s="28" t="n">
        <f aca="false">RANK(D73,$D$69:$D$164,0)+COUNTIF($D$69:D73,D73)-1</f>
        <v>30</v>
      </c>
      <c r="H73" s="1" t="n">
        <v>5</v>
      </c>
      <c r="I73" s="1" t="str">
        <f aca="false">INDEX($B$69:$B$164,MATCH(H73,$F$69:$F$164,0))</f>
        <v>HAMDAAN ENTERPRISE</v>
      </c>
      <c r="J73" s="12" t="n">
        <f aca="false">INDEX($D$69:$D$164,MATCH(H73,$F$69:$F$164,0))</f>
        <v>861710</v>
      </c>
    </row>
    <row r="74" customFormat="false" ht="15" hidden="false" customHeight="true" outlineLevel="0" collapsed="false">
      <c r="B74" s="28" t="s">
        <v>173</v>
      </c>
      <c r="C74" s="28" t="n">
        <f aca="false">SUMIFS(Transactions!$H$2:$H$603,Transactions!$F$2:$F$603,B74,Transactions!$D$2:$D$603,"Sale")</f>
        <v>1200</v>
      </c>
      <c r="D74" s="19" t="n">
        <f aca="false">SUMIFS(Transactions!$I$2:$I$603,Transactions!$F$2:$F$603,B74,Transactions!$D$2:$D$603,"Sale")</f>
        <v>124800</v>
      </c>
      <c r="E74" s="29" t="n">
        <f aca="false">IF(SUM($D$69:$D$164)&gt;0,D74/SUM($D$69:$D$164),0)</f>
        <v>0.0087625720440699</v>
      </c>
      <c r="F74" s="28" t="n">
        <f aca="false">RANK(D74,$D$69:$D$164,0)+COUNTIF($D$69:D74,D74)-1</f>
        <v>31</v>
      </c>
      <c r="H74" s="1" t="n">
        <v>6</v>
      </c>
      <c r="I74" s="1" t="str">
        <f aca="false">INDEX($B$69:$B$164,MATCH(H74,$F$69:$F$164,0))</f>
        <v>Dilshad Ahmed &amp; Co</v>
      </c>
      <c r="J74" s="12" t="n">
        <f aca="false">INDEX($D$69:$D$164,MATCH(H74,$F$69:$F$164,0))</f>
        <v>769440</v>
      </c>
    </row>
    <row r="75" customFormat="false" ht="15" hidden="false" customHeight="true" outlineLevel="0" collapsed="false">
      <c r="B75" s="28" t="s">
        <v>115</v>
      </c>
      <c r="C75" s="28" t="n">
        <f aca="false">SUMIFS(Transactions!$H$2:$H$603,Transactions!$F$2:$F$603,B75,Transactions!$D$2:$D$603,"Sale")</f>
        <v>2000</v>
      </c>
      <c r="D75" s="19" t="n">
        <f aca="false">SUMIFS(Transactions!$I$2:$I$603,Transactions!$F$2:$F$603,B75,Transactions!$D$2:$D$603,"Sale")</f>
        <v>201200</v>
      </c>
      <c r="E75" s="29" t="n">
        <f aca="false">IF(SUM($D$69:$D$164)&gt;0,D75/SUM($D$69:$D$164),0)</f>
        <v>0.0141268389043819</v>
      </c>
      <c r="F75" s="28" t="n">
        <f aca="false">RANK(D75,$D$69:$D$164,0)+COUNTIF($D$69:D75,D75)-1</f>
        <v>19</v>
      </c>
      <c r="H75" s="1" t="n">
        <v>7</v>
      </c>
      <c r="I75" s="1" t="str">
        <f aca="false">INDEX($B$69:$B$164,MATCH(H75,$F$69:$F$164,0))</f>
        <v>New Horizons Pvt Ltd</v>
      </c>
      <c r="J75" s="12" t="n">
        <f aca="false">INDEX($D$69:$D$164,MATCH(H75,$F$69:$F$164,0))</f>
        <v>674430</v>
      </c>
    </row>
    <row r="76" customFormat="false" ht="15" hidden="false" customHeight="true" outlineLevel="0" collapsed="false">
      <c r="B76" s="28" t="s">
        <v>155</v>
      </c>
      <c r="C76" s="28" t="n">
        <f aca="false">SUMIFS(Transactions!$H$2:$H$603,Transactions!$F$2:$F$603,B76,Transactions!$D$2:$D$603,"Sale")</f>
        <v>170</v>
      </c>
      <c r="D76" s="19" t="n">
        <f aca="false">SUMIFS(Transactions!$I$2:$I$603,Transactions!$F$2:$F$603,B76,Transactions!$D$2:$D$603,"Sale")</f>
        <v>27150</v>
      </c>
      <c r="E76" s="29" t="n">
        <f aca="false">IF(SUM($D$69:$D$164)&gt;0,D76/SUM($D$69:$D$164),0)</f>
        <v>0.00190628069708732</v>
      </c>
      <c r="F76" s="28" t="n">
        <f aca="false">RANK(D76,$D$69:$D$164,0)+COUNTIF($D$69:D76,D76)-1</f>
        <v>62</v>
      </c>
      <c r="H76" s="1" t="n">
        <v>8</v>
      </c>
      <c r="I76" s="1" t="str">
        <f aca="false">INDEX($B$69:$B$164,MATCH(H76,$F$69:$F$164,0))</f>
        <v>New Horizons Pvt. Ltd</v>
      </c>
      <c r="J76" s="12" t="n">
        <f aca="false">INDEX($D$69:$D$164,MATCH(H76,$F$69:$F$164,0))</f>
        <v>541950</v>
      </c>
    </row>
    <row r="77" customFormat="false" ht="15" hidden="false" customHeight="true" outlineLevel="0" collapsed="false">
      <c r="B77" s="28" t="s">
        <v>147</v>
      </c>
      <c r="C77" s="28" t="n">
        <f aca="false">SUMIFS(Transactions!$H$2:$H$603,Transactions!$F$2:$F$603,B77,Transactions!$D$2:$D$603,"Sale")</f>
        <v>2367</v>
      </c>
      <c r="D77" s="19" t="n">
        <f aca="false">SUMIFS(Transactions!$I$2:$I$603,Transactions!$F$2:$F$603,B77,Transactions!$D$2:$D$603,"Sale")</f>
        <v>373984</v>
      </c>
      <c r="E77" s="29" t="n">
        <f aca="false">IF(SUM($D$69:$D$164)&gt;0,D77/SUM($D$69:$D$164),0)</f>
        <v>0.0262585075587295</v>
      </c>
      <c r="F77" s="28" t="n">
        <f aca="false">RANK(D77,$D$69:$D$164,0)+COUNTIF($D$69:D77,D77)-1</f>
        <v>10</v>
      </c>
      <c r="H77" s="1" t="n">
        <v>9</v>
      </c>
      <c r="I77" s="1" t="str">
        <f aca="false">INDEX($B$69:$B$164,MATCH(H77,$F$69:$F$164,0))</f>
        <v>Globus Alexium</v>
      </c>
      <c r="J77" s="12" t="n">
        <f aca="false">INDEX($D$69:$D$164,MATCH(H77,$F$69:$F$164,0))</f>
        <v>527800</v>
      </c>
    </row>
    <row r="78" customFormat="false" ht="15" hidden="false" customHeight="true" outlineLevel="0" collapsed="false">
      <c r="B78" s="28" t="s">
        <v>183</v>
      </c>
      <c r="C78" s="28" t="n">
        <f aca="false">SUMIFS(Transactions!$H$2:$H$603,Transactions!$F$2:$F$603,B78,Transactions!$D$2:$D$603,"Sale")</f>
        <v>120</v>
      </c>
      <c r="D78" s="19" t="n">
        <f aca="false">SUMIFS(Transactions!$I$2:$I$603,Transactions!$F$2:$F$603,B78,Transactions!$D$2:$D$603,"Sale")</f>
        <v>13440</v>
      </c>
      <c r="E78" s="29" t="n">
        <f aca="false">IF(SUM($D$69:$D$164)&gt;0,D78/SUM($D$69:$D$164),0)</f>
        <v>0.000943661604745989</v>
      </c>
      <c r="F78" s="28" t="n">
        <f aca="false">RANK(D78,$D$69:$D$164,0)+COUNTIF($D$69:D78,D78)-1</f>
        <v>79</v>
      </c>
      <c r="H78" s="1" t="n">
        <v>10</v>
      </c>
      <c r="I78" s="1" t="str">
        <f aca="false">INDEX($B$69:$B$164,MATCH(H78,$F$69:$F$164,0))</f>
        <v>Abdin Leather Conceria Pvt.Ltd</v>
      </c>
      <c r="J78" s="12" t="n">
        <f aca="false">INDEX($D$69:$D$164,MATCH(H78,$F$69:$F$164,0))</f>
        <v>373984</v>
      </c>
    </row>
    <row r="79" customFormat="false" ht="15" hidden="false" customHeight="true" outlineLevel="0" collapsed="false">
      <c r="B79" s="28" t="s">
        <v>142</v>
      </c>
      <c r="C79" s="28" t="n">
        <f aca="false">SUMIFS(Transactions!$H$2:$H$603,Transactions!$F$2:$F$603,B79,Transactions!$D$2:$D$603,"Sale")</f>
        <v>1440</v>
      </c>
      <c r="D79" s="19" t="n">
        <f aca="false">SUMIFS(Transactions!$I$2:$I$603,Transactions!$F$2:$F$603,B79,Transactions!$D$2:$D$603,"Sale")</f>
        <v>183840</v>
      </c>
      <c r="E79" s="29" t="n">
        <f aca="false">IF(SUM($D$69:$D$164)&gt;0,D79/SUM($D$69:$D$164),0)</f>
        <v>0.0129079426649183</v>
      </c>
      <c r="F79" s="28" t="n">
        <f aca="false">RANK(D79,$D$69:$D$164,0)+COUNTIF($D$69:D79,D79)-1</f>
        <v>22</v>
      </c>
      <c r="H79" s="1" t="n">
        <v>11</v>
      </c>
      <c r="I79" s="1" t="str">
        <f aca="false">INDEX($B$69:$B$164,MATCH(H79,$F$69:$F$164,0))</f>
        <v>Umar Traders</v>
      </c>
      <c r="J79" s="12" t="n">
        <f aca="false">INDEX($D$69:$D$164,MATCH(H79,$F$69:$F$164,0))</f>
        <v>304080</v>
      </c>
    </row>
    <row r="80" customFormat="false" ht="15" hidden="false" customHeight="true" outlineLevel="0" collapsed="false">
      <c r="B80" s="28" t="s">
        <v>190</v>
      </c>
      <c r="C80" s="28" t="n">
        <f aca="false">SUMIFS(Transactions!$H$2:$H$603,Transactions!$F$2:$F$603,B80,Transactions!$D$2:$D$603,"Sale")</f>
        <v>120</v>
      </c>
      <c r="D80" s="19" t="n">
        <f aca="false">SUMIFS(Transactions!$I$2:$I$603,Transactions!$F$2:$F$603,B80,Transactions!$D$2:$D$603,"Sale")</f>
        <v>19200</v>
      </c>
      <c r="E80" s="29" t="n">
        <f aca="false">IF(SUM($D$69:$D$164)&gt;0,D80/SUM($D$69:$D$164),0)</f>
        <v>0.00134808800677998</v>
      </c>
      <c r="F80" s="28" t="n">
        <f aca="false">RANK(D80,$D$69:$D$164,0)+COUNTIF($D$69:D80,D80)-1</f>
        <v>74</v>
      </c>
      <c r="H80" s="1" t="n">
        <v>12</v>
      </c>
      <c r="I80" s="1" t="str">
        <f aca="false">INDEX($B$69:$B$164,MATCH(H80,$F$69:$F$164,0))</f>
        <v>Chen Kuo Jung</v>
      </c>
      <c r="J80" s="12" t="n">
        <f aca="false">INDEX($D$69:$D$164,MATCH(H80,$F$69:$F$164,0))</f>
        <v>297000</v>
      </c>
    </row>
    <row r="81" customFormat="false" ht="15" hidden="false" customHeight="true" outlineLevel="0" collapsed="false">
      <c r="B81" s="28" t="s">
        <v>140</v>
      </c>
      <c r="C81" s="28" t="n">
        <f aca="false">SUMIFS(Transactions!$H$2:$H$603,Transactions!$F$2:$F$603,B81,Transactions!$D$2:$D$603,"Sale")</f>
        <v>275</v>
      </c>
      <c r="D81" s="19" t="n">
        <f aca="false">SUMIFS(Transactions!$I$2:$I$603,Transactions!$F$2:$F$603,B81,Transactions!$D$2:$D$603,"Sale")</f>
        <v>61875</v>
      </c>
      <c r="E81" s="29" t="n">
        <f aca="false">IF(SUM($D$69:$D$164)&gt;0,D81/SUM($D$69:$D$164),0)</f>
        <v>0.00434442424059956</v>
      </c>
      <c r="F81" s="28" t="n">
        <f aca="false">RANK(D81,$D$69:$D$164,0)+COUNTIF($D$69:D81,D81)-1</f>
        <v>48</v>
      </c>
      <c r="H81" s="1" t="n">
        <v>13</v>
      </c>
      <c r="I81" s="1" t="str">
        <f aca="false">INDEX($B$69:$B$164,MATCH(H81,$F$69:$F$164,0))</f>
        <v>Raju Brothers</v>
      </c>
      <c r="J81" s="12" t="n">
        <f aca="false">INDEX($D$69:$D$164,MATCH(H81,$F$69:$F$164,0))</f>
        <v>295140</v>
      </c>
    </row>
    <row r="82" customFormat="false" ht="15" hidden="false" customHeight="true" outlineLevel="0" collapsed="false">
      <c r="B82" s="28" t="s">
        <v>171</v>
      </c>
      <c r="C82" s="28" t="n">
        <f aca="false">SUMIFS(Transactions!$H$2:$H$603,Transactions!$F$2:$F$603,B82,Transactions!$D$2:$D$603,"Sale")</f>
        <v>440</v>
      </c>
      <c r="D82" s="19" t="n">
        <f aca="false">SUMIFS(Transactions!$I$2:$I$603,Transactions!$F$2:$F$603,B82,Transactions!$D$2:$D$603,"Sale")</f>
        <v>47860</v>
      </c>
      <c r="E82" s="29" t="n">
        <f aca="false">IF(SUM($D$69:$D$164)&gt;0,D82/SUM($D$69:$D$164),0)</f>
        <v>0.00336039020856719</v>
      </c>
      <c r="F82" s="28" t="n">
        <f aca="false">RANK(D82,$D$69:$D$164,0)+COUNTIF($D$69:D82,D82)-1</f>
        <v>55</v>
      </c>
      <c r="H82" s="1" t="n">
        <v>14</v>
      </c>
      <c r="I82" s="1" t="str">
        <f aca="false">INDEX($B$69:$B$164,MATCH(H82,$F$69:$F$164,0))</f>
        <v>Z K Leather Products</v>
      </c>
      <c r="J82" s="12" t="n">
        <f aca="false">INDEX($D$69:$D$164,MATCH(H82,$F$69:$F$164,0))</f>
        <v>293520</v>
      </c>
    </row>
    <row r="83" customFormat="false" ht="15" hidden="false" customHeight="true" outlineLevel="0" collapsed="false">
      <c r="B83" s="28" t="s">
        <v>157</v>
      </c>
      <c r="C83" s="28" t="n">
        <f aca="false">SUMIFS(Transactions!$H$2:$H$603,Transactions!$F$2:$F$603,B83,Transactions!$D$2:$D$603,"Sale")</f>
        <v>1100</v>
      </c>
      <c r="D83" s="19" t="n">
        <f aca="false">SUMIFS(Transactions!$I$2:$I$603,Transactions!$F$2:$F$603,B83,Transactions!$D$2:$D$603,"Sale")</f>
        <v>297000</v>
      </c>
      <c r="E83" s="29" t="n">
        <f aca="false">IF(SUM($D$69:$D$164)&gt;0,D83/SUM($D$69:$D$164),0)</f>
        <v>0.0208532363548779</v>
      </c>
      <c r="F83" s="28" t="n">
        <f aca="false">RANK(D83,$D$69:$D$164,0)+COUNTIF($D$69:D83,D83)-1</f>
        <v>12</v>
      </c>
      <c r="H83" s="1" t="n">
        <v>15</v>
      </c>
      <c r="I83" s="1" t="str">
        <f aca="false">INDEX($B$69:$B$164,MATCH(H83,$F$69:$F$164,0))</f>
        <v>Rahaman Industries</v>
      </c>
      <c r="J83" s="12" t="n">
        <f aca="false">INDEX($D$69:$D$164,MATCH(H83,$F$69:$F$164,0))</f>
        <v>273080</v>
      </c>
    </row>
    <row r="84" customFormat="false" ht="15" hidden="false" customHeight="true" outlineLevel="0" collapsed="false">
      <c r="B84" s="28" t="s">
        <v>128</v>
      </c>
      <c r="C84" s="28" t="n">
        <f aca="false">SUMIFS(Transactions!$H$2:$H$603,Transactions!$F$2:$F$603,B84,Transactions!$D$2:$D$603,"Sale")</f>
        <v>450</v>
      </c>
      <c r="D84" s="19" t="n">
        <f aca="false">SUMIFS(Transactions!$I$2:$I$603,Transactions!$F$2:$F$603,B84,Transactions!$D$2:$D$603,"Sale")</f>
        <v>65000</v>
      </c>
      <c r="E84" s="29" t="n">
        <f aca="false">IF(SUM($D$69:$D$164)&gt;0,D84/SUM($D$69:$D$164),0)</f>
        <v>0.0045638396062864</v>
      </c>
      <c r="F84" s="28" t="n">
        <f aca="false">RANK(D84,$D$69:$D$164,0)+COUNTIF($D$69:D84,D84)-1</f>
        <v>45</v>
      </c>
    </row>
    <row r="85" customFormat="false" ht="15" hidden="false" customHeight="true" outlineLevel="0" collapsed="false">
      <c r="B85" s="28" t="s">
        <v>156</v>
      </c>
      <c r="C85" s="28" t="n">
        <f aca="false">SUMIFS(Transactions!$H$2:$H$603,Transactions!$F$2:$F$603,B85,Transactions!$D$2:$D$603,"Sale")</f>
        <v>20</v>
      </c>
      <c r="D85" s="19" t="n">
        <f aca="false">SUMIFS(Transactions!$I$2:$I$603,Transactions!$F$2:$F$603,B85,Transactions!$D$2:$D$603,"Sale")</f>
        <v>18000</v>
      </c>
      <c r="E85" s="29" t="n">
        <f aca="false">IF(SUM($D$69:$D$164)&gt;0,D85/SUM($D$69:$D$164),0)</f>
        <v>0.00126383250635624</v>
      </c>
      <c r="F85" s="28" t="n">
        <f aca="false">RANK(D85,$D$69:$D$164,0)+COUNTIF($D$69:D85,D85)-1</f>
        <v>77</v>
      </c>
      <c r="H85" s="11" t="s">
        <v>241</v>
      </c>
      <c r="I85" s="11" t="s">
        <v>239</v>
      </c>
    </row>
    <row r="86" customFormat="false" ht="15" hidden="false" customHeight="true" outlineLevel="0" collapsed="false">
      <c r="B86" s="28" t="s">
        <v>166</v>
      </c>
      <c r="C86" s="28" t="n">
        <f aca="false">SUMIFS(Transactions!$H$2:$H$603,Transactions!$F$2:$F$603,B86,Transactions!$D$2:$D$603,"Sale")</f>
        <v>240</v>
      </c>
      <c r="D86" s="19" t="n">
        <f aca="false">SUMIFS(Transactions!$I$2:$I$603,Transactions!$F$2:$F$603,B86,Transactions!$D$2:$D$603,"Sale")</f>
        <v>47520</v>
      </c>
      <c r="E86" s="29" t="n">
        <f aca="false">IF(SUM($D$69:$D$164)&gt;0,D86/SUM($D$69:$D$164),0)</f>
        <v>0.00333651781678046</v>
      </c>
      <c r="F86" s="28" t="n">
        <f aca="false">RANK(D86,$D$69:$D$164,0)+COUNTIF($D$69:D86,D86)-1</f>
        <v>56</v>
      </c>
      <c r="H86" s="1" t="s">
        <v>242</v>
      </c>
      <c r="I86" s="12" t="n">
        <f aca="false">SUM(J69:J73)</f>
        <v>4626400</v>
      </c>
    </row>
    <row r="87" customFormat="false" ht="15" hidden="false" customHeight="true" outlineLevel="0" collapsed="false">
      <c r="B87" s="28" t="s">
        <v>106</v>
      </c>
      <c r="C87" s="28" t="n">
        <f aca="false">SUMIFS(Transactions!$H$2:$H$603,Transactions!$F$2:$F$603,B87,Transactions!$D$2:$D$603,"Sale")</f>
        <v>7120</v>
      </c>
      <c r="D87" s="19" t="n">
        <f aca="false">SUMIFS(Transactions!$I$2:$I$603,Transactions!$F$2:$F$603,B87,Transactions!$D$2:$D$603,"Sale")</f>
        <v>769440</v>
      </c>
      <c r="E87" s="29" t="n">
        <f aca="false">IF(SUM($D$69:$D$164)&gt;0,D87/SUM($D$69:$D$164),0)</f>
        <v>0.0540246268717079</v>
      </c>
      <c r="F87" s="28" t="n">
        <f aca="false">RANK(D87,$D$69:$D$164,0)+COUNTIF($D$69:D87,D87)-1</f>
        <v>6</v>
      </c>
      <c r="H87" s="1" t="s">
        <v>243</v>
      </c>
      <c r="I87" s="12" t="n">
        <f aca="false">SUM($D$69:$D$164)-I86</f>
        <v>9615993.6</v>
      </c>
    </row>
    <row r="88" customFormat="false" ht="15" hidden="false" customHeight="true" outlineLevel="0" collapsed="false">
      <c r="B88" s="28" t="s">
        <v>203</v>
      </c>
      <c r="C88" s="28" t="n">
        <f aca="false">SUMIFS(Transactions!$H$2:$H$603,Transactions!$F$2:$F$603,B88,Transactions!$D$2:$D$603,"Sale")</f>
        <v>1600</v>
      </c>
      <c r="D88" s="19" t="n">
        <f aca="false">SUMIFS(Transactions!$I$2:$I$603,Transactions!$F$2:$F$603,B88,Transactions!$D$2:$D$603,"Sale")</f>
        <v>169000</v>
      </c>
      <c r="E88" s="29" t="n">
        <f aca="false">IF(SUM($D$69:$D$164)&gt;0,D88/SUM($D$69:$D$164),0)</f>
        <v>0.0118659829763447</v>
      </c>
      <c r="F88" s="28" t="n">
        <f aca="false">RANK(D88,$D$69:$D$164,0)+COUNTIF($D$69:D88,D88)-1</f>
        <v>23</v>
      </c>
    </row>
    <row r="89" customFormat="false" ht="15" hidden="false" customHeight="true" outlineLevel="0" collapsed="false">
      <c r="B89" s="28" t="s">
        <v>195</v>
      </c>
      <c r="C89" s="28" t="n">
        <f aca="false">SUMIFS(Transactions!$H$2:$H$603,Transactions!$F$2:$F$603,B89,Transactions!$D$2:$D$603,"Sale")</f>
        <v>240</v>
      </c>
      <c r="D89" s="19" t="n">
        <f aca="false">SUMIFS(Transactions!$I$2:$I$603,Transactions!$F$2:$F$603,B89,Transactions!$D$2:$D$603,"Sale")</f>
        <v>26760</v>
      </c>
      <c r="E89" s="29" t="n">
        <f aca="false">IF(SUM($D$69:$D$164)&gt;0,D89/SUM($D$69:$D$164),0)</f>
        <v>0.0018788976594496</v>
      </c>
      <c r="F89" s="28" t="n">
        <f aca="false">RANK(D89,$D$69:$D$164,0)+COUNTIF($D$69:D89,D89)-1</f>
        <v>63</v>
      </c>
    </row>
    <row r="90" customFormat="false" ht="15" hidden="false" customHeight="true" outlineLevel="0" collapsed="false">
      <c r="B90" s="28" t="s">
        <v>193</v>
      </c>
      <c r="C90" s="28" t="n">
        <f aca="false">SUMIFS(Transactions!$H$2:$H$603,Transactions!$F$2:$F$603,B90,Transactions!$D$2:$D$603,"Sale")</f>
        <v>230</v>
      </c>
      <c r="D90" s="19" t="n">
        <f aca="false">SUMIFS(Transactions!$I$2:$I$603,Transactions!$F$2:$F$603,B90,Transactions!$D$2:$D$603,"Sale")</f>
        <v>36685</v>
      </c>
      <c r="E90" s="29" t="n">
        <f aca="false">IF(SUM($D$69:$D$164)&gt;0,D90/SUM($D$69:$D$164),0)</f>
        <v>0.00257576086087103</v>
      </c>
      <c r="F90" s="28" t="n">
        <f aca="false">RANK(D90,$D$69:$D$164,0)+COUNTIF($D$69:D90,D90)-1</f>
        <v>59</v>
      </c>
    </row>
    <row r="91" customFormat="false" ht="15" hidden="false" customHeight="true" outlineLevel="0" collapsed="false">
      <c r="B91" s="28" t="s">
        <v>170</v>
      </c>
      <c r="C91" s="28" t="n">
        <f aca="false">SUMIFS(Transactions!$H$2:$H$603,Transactions!$F$2:$F$603,B91,Transactions!$D$2:$D$603,"Sale")</f>
        <v>7</v>
      </c>
      <c r="D91" s="19" t="n">
        <f aca="false">SUMIFS(Transactions!$I$2:$I$603,Transactions!$F$2:$F$603,B91,Transactions!$D$2:$D$603,"Sale")</f>
        <v>2370</v>
      </c>
      <c r="E91" s="29" t="n">
        <f aca="false">IF(SUM($D$69:$D$164)&gt;0,D91/SUM($D$69:$D$164),0)</f>
        <v>0.000166404613336904</v>
      </c>
      <c r="F91" s="28" t="n">
        <f aca="false">RANK(D91,$D$69:$D$164,0)+COUNTIF($D$69:D91,D91)-1</f>
        <v>93</v>
      </c>
    </row>
    <row r="92" customFormat="false" ht="15" hidden="false" customHeight="true" outlineLevel="0" collapsed="false">
      <c r="B92" s="28" t="s">
        <v>124</v>
      </c>
      <c r="C92" s="28" t="n">
        <f aca="false">SUMIFS(Transactions!$H$2:$H$603,Transactions!$F$2:$F$603,B92,Transactions!$D$2:$D$603,"Sale")</f>
        <v>550</v>
      </c>
      <c r="D92" s="19" t="n">
        <f aca="false">SUMIFS(Transactions!$I$2:$I$603,Transactions!$F$2:$F$603,B92,Transactions!$D$2:$D$603,"Sale")</f>
        <v>51150</v>
      </c>
      <c r="E92" s="29" t="n">
        <f aca="false">IF(SUM($D$69:$D$164)&gt;0,D92/SUM($D$69:$D$164),0)</f>
        <v>0.0035913907055623</v>
      </c>
      <c r="F92" s="28" t="n">
        <f aca="false">RANK(D92,$D$69:$D$164,0)+COUNTIF($D$69:D92,D92)-1</f>
        <v>53</v>
      </c>
    </row>
    <row r="93" customFormat="false" ht="15" hidden="false" customHeight="true" outlineLevel="0" collapsed="false">
      <c r="B93" s="28" t="s">
        <v>185</v>
      </c>
      <c r="C93" s="28" t="n">
        <f aca="false">SUMIFS(Transactions!$H$2:$H$603,Transactions!$F$2:$F$603,B93,Transactions!$D$2:$D$603,"Sale")</f>
        <v>110</v>
      </c>
      <c r="D93" s="19" t="n">
        <f aca="false">SUMIFS(Transactions!$I$2:$I$603,Transactions!$F$2:$F$603,B93,Transactions!$D$2:$D$603,"Sale")</f>
        <v>10230</v>
      </c>
      <c r="E93" s="29" t="n">
        <f aca="false">IF(SUM($D$69:$D$164)&gt;0,D93/SUM($D$69:$D$164),0)</f>
        <v>0.00071827814111246</v>
      </c>
      <c r="F93" s="28" t="n">
        <f aca="false">RANK(D93,$D$69:$D$164,0)+COUNTIF($D$69:D93,D93)-1</f>
        <v>83</v>
      </c>
    </row>
    <row r="94" customFormat="false" ht="15" hidden="false" customHeight="true" outlineLevel="0" collapsed="false">
      <c r="B94" s="28" t="s">
        <v>144</v>
      </c>
      <c r="C94" s="28" t="n">
        <f aca="false">SUMIFS(Transactions!$H$2:$H$603,Transactions!$F$2:$F$603,B94,Transactions!$D$2:$D$603,"Sale")</f>
        <v>2600</v>
      </c>
      <c r="D94" s="19" t="n">
        <f aca="false">SUMIFS(Transactions!$I$2:$I$603,Transactions!$F$2:$F$603,B94,Transactions!$D$2:$D$603,"Sale")</f>
        <v>527800</v>
      </c>
      <c r="E94" s="29" t="n">
        <f aca="false">IF(SUM($D$69:$D$164)&gt;0,D94/SUM($D$69:$D$164),0)</f>
        <v>0.0370583776030456</v>
      </c>
      <c r="F94" s="28" t="n">
        <f aca="false">RANK(D94,$D$69:$D$164,0)+COUNTIF($D$69:D94,D94)-1</f>
        <v>9</v>
      </c>
    </row>
    <row r="95" customFormat="false" ht="15" hidden="false" customHeight="true" outlineLevel="0" collapsed="false">
      <c r="B95" s="28" t="s">
        <v>180</v>
      </c>
      <c r="C95" s="28" t="n">
        <f aca="false">SUMIFS(Transactions!$H$2:$H$603,Transactions!$F$2:$F$603,B95,Transactions!$D$2:$D$603,"Sale")</f>
        <v>1200</v>
      </c>
      <c r="D95" s="19" t="n">
        <f aca="false">SUMIFS(Transactions!$I$2:$I$603,Transactions!$F$2:$F$603,B95,Transactions!$D$2:$D$603,"Sale")</f>
        <v>133800</v>
      </c>
      <c r="E95" s="29" t="n">
        <f aca="false">IF(SUM($D$69:$D$164)&gt;0,D95/SUM($D$69:$D$164),0)</f>
        <v>0.00939448829724801</v>
      </c>
      <c r="F95" s="28" t="n">
        <f aca="false">RANK(D95,$D$69:$D$164,0)+COUNTIF($D$69:D95,D95)-1</f>
        <v>29</v>
      </c>
    </row>
    <row r="96" customFormat="false" ht="15" hidden="false" customHeight="true" outlineLevel="0" collapsed="false">
      <c r="B96" s="28" t="s">
        <v>126</v>
      </c>
      <c r="C96" s="28" t="n">
        <f aca="false">SUMIFS(Transactions!$H$2:$H$603,Transactions!$F$2:$F$603,B96,Transactions!$D$2:$D$603,"Sale")</f>
        <v>6095</v>
      </c>
      <c r="D96" s="19" t="n">
        <f aca="false">SUMIFS(Transactions!$I$2:$I$603,Transactions!$F$2:$F$603,B96,Transactions!$D$2:$D$603,"Sale")</f>
        <v>861710</v>
      </c>
      <c r="E96" s="29" t="n">
        <f aca="false">IF(SUM($D$69:$D$164)&gt;0,D96/SUM($D$69:$D$164),0)</f>
        <v>0.060503172725124</v>
      </c>
      <c r="F96" s="28" t="n">
        <f aca="false">RANK(D96,$D$69:$D$164,0)+COUNTIF($D$69:D96,D96)-1</f>
        <v>5</v>
      </c>
    </row>
    <row r="97" customFormat="false" ht="15" hidden="false" customHeight="true" outlineLevel="0" collapsed="false">
      <c r="B97" s="28" t="s">
        <v>162</v>
      </c>
      <c r="C97" s="28" t="n">
        <f aca="false">SUMIFS(Transactions!$H$2:$H$603,Transactions!$F$2:$F$603,B97,Transactions!$D$2:$D$603,"Sale")</f>
        <v>122.5</v>
      </c>
      <c r="D97" s="19" t="n">
        <f aca="false">SUMIFS(Transactions!$I$2:$I$603,Transactions!$F$2:$F$603,B97,Transactions!$D$2:$D$603,"Sale")</f>
        <v>14145</v>
      </c>
      <c r="E97" s="29" t="n">
        <f aca="false">IF(SUM($D$69:$D$164)&gt;0,D97/SUM($D$69:$D$164),0)</f>
        <v>0.000993161711244941</v>
      </c>
      <c r="F97" s="28" t="n">
        <f aca="false">RANK(D97,$D$69:$D$164,0)+COUNTIF($D$69:D97,D97)-1</f>
        <v>78</v>
      </c>
    </row>
    <row r="98" customFormat="false" ht="15" hidden="false" customHeight="true" outlineLevel="0" collapsed="false">
      <c r="B98" s="28" t="s">
        <v>165</v>
      </c>
      <c r="C98" s="28" t="n">
        <f aca="false">SUMIFS(Transactions!$H$2:$H$603,Transactions!$F$2:$F$603,B98,Transactions!$D$2:$D$603,"Sale")</f>
        <v>24</v>
      </c>
      <c r="D98" s="19" t="n">
        <f aca="false">SUMIFS(Transactions!$I$2:$I$603,Transactions!$F$2:$F$603,B98,Transactions!$D$2:$D$603,"Sale")</f>
        <v>4218</v>
      </c>
      <c r="E98" s="29" t="n">
        <f aca="false">IF(SUM($D$69:$D$164)&gt;0,D98/SUM($D$69:$D$164),0)</f>
        <v>0.000296158083989478</v>
      </c>
      <c r="F98" s="28" t="n">
        <f aca="false">RANK(D98,$D$69:$D$164,0)+COUNTIF($D$69:D98,D98)-1</f>
        <v>89</v>
      </c>
    </row>
    <row r="99" customFormat="false" ht="15" hidden="false" customHeight="true" outlineLevel="0" collapsed="false">
      <c r="B99" s="28" t="s">
        <v>164</v>
      </c>
      <c r="C99" s="28" t="n">
        <f aca="false">SUMIFS(Transactions!$H$2:$H$603,Transactions!$F$2:$F$603,B99,Transactions!$D$2:$D$603,"Sale")</f>
        <v>5</v>
      </c>
      <c r="D99" s="19" t="n">
        <f aca="false">SUMIFS(Transactions!$I$2:$I$603,Transactions!$F$2:$F$603,B99,Transactions!$D$2:$D$603,"Sale")</f>
        <v>1410</v>
      </c>
      <c r="E99" s="29" t="n">
        <f aca="false">IF(SUM($D$69:$D$164)&gt;0,D99/SUM($D$69:$D$164),0)</f>
        <v>9.90002129979051E-005</v>
      </c>
      <c r="F99" s="28" t="n">
        <f aca="false">RANK(D99,$D$69:$D$164,0)+COUNTIF($D$69:D99,D99)-1</f>
        <v>94</v>
      </c>
    </row>
    <row r="100" customFormat="false" ht="15" hidden="false" customHeight="true" outlineLevel="0" collapsed="false">
      <c r="B100" s="28" t="s">
        <v>191</v>
      </c>
      <c r="C100" s="28" t="n">
        <f aca="false">SUMIFS(Transactions!$H$2:$H$603,Transactions!$F$2:$F$603,B100,Transactions!$D$2:$D$603,"Sale")</f>
        <v>60</v>
      </c>
      <c r="D100" s="19" t="n">
        <f aca="false">SUMIFS(Transactions!$I$2:$I$603,Transactions!$F$2:$F$603,B100,Transactions!$D$2:$D$603,"Sale")</f>
        <v>7320</v>
      </c>
      <c r="E100" s="29" t="n">
        <f aca="false">IF(SUM($D$69:$D$164)&gt;0,D100/SUM($D$69:$D$164),0)</f>
        <v>0.000513958552584869</v>
      </c>
      <c r="F100" s="28" t="n">
        <f aca="false">RANK(D100,$D$69:$D$164,0)+COUNTIF($D$69:D100,D100)-1</f>
        <v>86</v>
      </c>
    </row>
    <row r="101" customFormat="false" ht="15" hidden="false" customHeight="true" outlineLevel="0" collapsed="false">
      <c r="B101" s="28" t="s">
        <v>192</v>
      </c>
      <c r="C101" s="28" t="n">
        <f aca="false">SUMIFS(Transactions!$H$2:$H$603,Transactions!$F$2:$F$603,B101,Transactions!$D$2:$D$603,"Sale")</f>
        <v>24</v>
      </c>
      <c r="D101" s="19" t="n">
        <f aca="false">SUMIFS(Transactions!$I$2:$I$603,Transactions!$F$2:$F$603,B101,Transactions!$D$2:$D$603,"Sale")</f>
        <v>2448</v>
      </c>
      <c r="E101" s="29" t="n">
        <f aca="false">IF(SUM($D$69:$D$164)&gt;0,D101/SUM($D$69:$D$164),0)</f>
        <v>0.000171881220864448</v>
      </c>
      <c r="F101" s="28" t="n">
        <f aca="false">RANK(D101,$D$69:$D$164,0)+COUNTIF($D$69:D101,D101)-1</f>
        <v>92</v>
      </c>
    </row>
    <row r="102" customFormat="false" ht="15" hidden="false" customHeight="true" outlineLevel="0" collapsed="false">
      <c r="B102" s="28" t="s">
        <v>179</v>
      </c>
      <c r="C102" s="28" t="n">
        <f aca="false">SUMIFS(Transactions!$H$2:$H$603,Transactions!$F$2:$F$603,B102,Transactions!$D$2:$D$603,"Sale")</f>
        <v>240</v>
      </c>
      <c r="D102" s="19" t="n">
        <f aca="false">SUMIFS(Transactions!$I$2:$I$603,Transactions!$F$2:$F$603,B102,Transactions!$D$2:$D$603,"Sale")</f>
        <v>26760</v>
      </c>
      <c r="E102" s="29" t="n">
        <f aca="false">IF(SUM($D$69:$D$164)&gt;0,D102/SUM($D$69:$D$164),0)</f>
        <v>0.0018788976594496</v>
      </c>
      <c r="F102" s="28" t="n">
        <f aca="false">RANK(D102,$D$69:$D$164,0)+COUNTIF($D$69:D102,D102)-1</f>
        <v>64</v>
      </c>
    </row>
    <row r="103" customFormat="false" ht="15" hidden="false" customHeight="true" outlineLevel="0" collapsed="false">
      <c r="B103" s="28" t="s">
        <v>158</v>
      </c>
      <c r="C103" s="28" t="n">
        <f aca="false">SUMIFS(Transactions!$H$2:$H$603,Transactions!$F$2:$F$603,B103,Transactions!$D$2:$D$603,"Sale")</f>
        <v>480</v>
      </c>
      <c r="D103" s="19" t="n">
        <f aca="false">SUMIFS(Transactions!$I$2:$I$603,Transactions!$F$2:$F$603,B103,Transactions!$D$2:$D$603,"Sale")</f>
        <v>95040</v>
      </c>
      <c r="E103" s="29" t="n">
        <f aca="false">IF(SUM($D$69:$D$164)&gt;0,D103/SUM($D$69:$D$164),0)</f>
        <v>0.00667303563356092</v>
      </c>
      <c r="F103" s="28" t="n">
        <f aca="false">RANK(D103,$D$69:$D$164,0)+COUNTIF($D$69:D103,D103)-1</f>
        <v>37</v>
      </c>
    </row>
    <row r="104" customFormat="false" ht="15" hidden="false" customHeight="true" outlineLevel="0" collapsed="false">
      <c r="B104" s="28" t="s">
        <v>114</v>
      </c>
      <c r="C104" s="28" t="n">
        <f aca="false">SUMIFS(Transactions!$H$2:$H$603,Transactions!$F$2:$F$603,B104,Transactions!$D$2:$D$603,"Sale")</f>
        <v>1440</v>
      </c>
      <c r="D104" s="19" t="n">
        <f aca="false">SUMIFS(Transactions!$I$2:$I$603,Transactions!$F$2:$F$603,B104,Transactions!$D$2:$D$603,"Sale")</f>
        <v>152640</v>
      </c>
      <c r="E104" s="29" t="n">
        <f aca="false">IF(SUM($D$69:$D$164)&gt;0,D104/SUM($D$69:$D$164),0)</f>
        <v>0.0107172996539009</v>
      </c>
      <c r="F104" s="28" t="n">
        <f aca="false">RANK(D104,$D$69:$D$164,0)+COUNTIF($D$69:D104,D104)-1</f>
        <v>24</v>
      </c>
    </row>
    <row r="105" customFormat="false" ht="15" hidden="false" customHeight="true" outlineLevel="0" collapsed="false">
      <c r="B105" s="28" t="s">
        <v>151</v>
      </c>
      <c r="C105" s="28" t="n">
        <f aca="false">SUMIFS(Transactions!$H$2:$H$603,Transactions!$F$2:$F$603,B105,Transactions!$D$2:$D$603,"Sale")</f>
        <v>50</v>
      </c>
      <c r="D105" s="19" t="n">
        <f aca="false">SUMIFS(Transactions!$I$2:$I$603,Transactions!$F$2:$F$603,B105,Transactions!$D$2:$D$603,"Sale")</f>
        <v>11950</v>
      </c>
      <c r="E105" s="29" t="n">
        <f aca="false">IF(SUM($D$69:$D$164)&gt;0,D105/SUM($D$69:$D$164),0)</f>
        <v>0.0008390443583865</v>
      </c>
      <c r="F105" s="28" t="n">
        <f aca="false">RANK(D105,$D$69:$D$164,0)+COUNTIF($D$69:D105,D105)-1</f>
        <v>82</v>
      </c>
    </row>
    <row r="106" customFormat="false" ht="15" hidden="false" customHeight="true" outlineLevel="0" collapsed="false">
      <c r="B106" s="28" t="s">
        <v>130</v>
      </c>
      <c r="C106" s="28" t="n">
        <f aca="false">SUMIFS(Transactions!$H$2:$H$603,Transactions!$F$2:$F$603,B106,Transactions!$D$2:$D$603,"Sale")</f>
        <v>245</v>
      </c>
      <c r="D106" s="19" t="n">
        <f aca="false">SUMIFS(Transactions!$I$2:$I$603,Transactions!$F$2:$F$603,B106,Transactions!$D$2:$D$603,"Sale")</f>
        <v>53610</v>
      </c>
      <c r="E106" s="29" t="n">
        <f aca="false">IF(SUM($D$69:$D$164)&gt;0,D106/SUM($D$69:$D$164),0)</f>
        <v>0.00376411448143099</v>
      </c>
      <c r="F106" s="28" t="n">
        <f aca="false">RANK(D106,$D$69:$D$164,0)+COUNTIF($D$69:D106,D106)-1</f>
        <v>49</v>
      </c>
    </row>
    <row r="107" customFormat="false" ht="15" hidden="false" customHeight="true" outlineLevel="0" collapsed="false">
      <c r="B107" s="28" t="s">
        <v>135</v>
      </c>
      <c r="C107" s="28" t="n">
        <f aca="false">SUMIFS(Transactions!$H$2:$H$603,Transactions!$F$2:$F$603,B107,Transactions!$D$2:$D$603,"Sale")</f>
        <v>720.5</v>
      </c>
      <c r="D107" s="19" t="n">
        <f aca="false">SUMIFS(Transactions!$I$2:$I$603,Transactions!$F$2:$F$603,B107,Transactions!$D$2:$D$603,"Sale")</f>
        <v>123906</v>
      </c>
      <c r="E107" s="29" t="n">
        <f aca="false">IF(SUM($D$69:$D$164)&gt;0,D107/SUM($D$69:$D$164),0)</f>
        <v>0.0086998016962542</v>
      </c>
      <c r="F107" s="28" t="n">
        <f aca="false">RANK(D107,$D$69:$D$164,0)+COUNTIF($D$69:D107,D107)-1</f>
        <v>32</v>
      </c>
    </row>
    <row r="108" customFormat="false" ht="15" hidden="false" customHeight="true" outlineLevel="0" collapsed="false">
      <c r="B108" s="28" t="s">
        <v>150</v>
      </c>
      <c r="C108" s="28" t="n">
        <f aca="false">SUMIFS(Transactions!$H$2:$H$603,Transactions!$F$2:$F$603,B108,Transactions!$D$2:$D$603,"Sale")</f>
        <v>150</v>
      </c>
      <c r="D108" s="19" t="n">
        <f aca="false">SUMIFS(Transactions!$I$2:$I$603,Transactions!$F$2:$F$603,B108,Transactions!$D$2:$D$603,"Sale")</f>
        <v>49500</v>
      </c>
      <c r="E108" s="29" t="n">
        <f aca="false">IF(SUM($D$69:$D$164)&gt;0,D108/SUM($D$69:$D$164),0)</f>
        <v>0.00347553939247965</v>
      </c>
      <c r="F108" s="28" t="n">
        <f aca="false">RANK(D108,$D$69:$D$164,0)+COUNTIF($D$69:D108,D108)-1</f>
        <v>54</v>
      </c>
    </row>
    <row r="109" customFormat="false" ht="15" hidden="false" customHeight="true" outlineLevel="0" collapsed="false">
      <c r="B109" s="28" t="s">
        <v>108</v>
      </c>
      <c r="C109" s="28" t="n">
        <f aca="false">SUMIFS(Transactions!$H$2:$H$603,Transactions!$F$2:$F$603,B109,Transactions!$D$2:$D$603,"Sale")</f>
        <v>8520</v>
      </c>
      <c r="D109" s="19" t="n">
        <f aca="false">SUMIFS(Transactions!$I$2:$I$603,Transactions!$F$2:$F$603,B109,Transactions!$D$2:$D$603,"Sale")</f>
        <v>950640</v>
      </c>
      <c r="E109" s="29" t="n">
        <f aca="false">IF(SUM($D$69:$D$164)&gt;0,D109/SUM($D$69:$D$164),0)</f>
        <v>0.066747207435694</v>
      </c>
      <c r="F109" s="28" t="n">
        <f aca="false">RANK(D109,$D$69:$D$164,0)+COUNTIF($D$69:D109,D109)-1</f>
        <v>1</v>
      </c>
    </row>
    <row r="110" customFormat="false" ht="15" hidden="false" customHeight="true" outlineLevel="0" collapsed="false">
      <c r="B110" s="28" t="s">
        <v>175</v>
      </c>
      <c r="C110" s="28" t="n">
        <f aca="false">SUMIFS(Transactions!$H$2:$H$603,Transactions!$F$2:$F$603,B110,Transactions!$D$2:$D$603,"Sale")</f>
        <v>1001</v>
      </c>
      <c r="D110" s="19" t="n">
        <f aca="false">SUMIFS(Transactions!$I$2:$I$603,Transactions!$F$2:$F$603,B110,Transactions!$D$2:$D$603,"Sale")</f>
        <v>111632</v>
      </c>
      <c r="E110" s="29" t="n">
        <f aca="false">IF(SUM($D$69:$D$164)&gt;0,D110/SUM($D$69:$D$164),0)</f>
        <v>0.00783800835275329</v>
      </c>
      <c r="F110" s="28" t="n">
        <f aca="false">RANK(D110,$D$69:$D$164,0)+COUNTIF($D$69:D110,D110)-1</f>
        <v>33</v>
      </c>
    </row>
    <row r="111" customFormat="false" ht="15" hidden="false" customHeight="true" outlineLevel="0" collapsed="false">
      <c r="B111" s="28" t="s">
        <v>138</v>
      </c>
      <c r="C111" s="28" t="n">
        <f aca="false">SUMIFS(Transactions!$H$2:$H$603,Transactions!$F$2:$F$603,B111,Transactions!$D$2:$D$603,"Sale")</f>
        <v>360</v>
      </c>
      <c r="D111" s="19" t="n">
        <f aca="false">SUMIFS(Transactions!$I$2:$I$603,Transactions!$F$2:$F$603,B111,Transactions!$D$2:$D$603,"Sale")</f>
        <v>36720</v>
      </c>
      <c r="E111" s="29" t="n">
        <f aca="false">IF(SUM($D$69:$D$164)&gt;0,D111/SUM($D$69:$D$164),0)</f>
        <v>0.00257821831296672</v>
      </c>
      <c r="F111" s="28" t="n">
        <f aca="false">RANK(D111,$D$69:$D$164,0)+COUNTIF($D$69:D111,D111)-1</f>
        <v>57</v>
      </c>
    </row>
    <row r="112" customFormat="false" ht="15" hidden="false" customHeight="true" outlineLevel="0" collapsed="false">
      <c r="B112" s="28" t="s">
        <v>125</v>
      </c>
      <c r="C112" s="28" t="n">
        <f aca="false">SUMIFS(Transactions!$H$2:$H$603,Transactions!$F$2:$F$603,B112,Transactions!$D$2:$D$603,"Sale")</f>
        <v>19.4</v>
      </c>
      <c r="D112" s="19" t="n">
        <f aca="false">SUMIFS(Transactions!$I$2:$I$603,Transactions!$F$2:$F$603,B112,Transactions!$D$2:$D$603,"Sale")</f>
        <v>9139.6</v>
      </c>
      <c r="E112" s="29" t="n">
        <f aca="false">IF(SUM($D$69:$D$164)&gt;0,D112/SUM($D$69:$D$164),0)</f>
        <v>0.00064171797639408</v>
      </c>
      <c r="F112" s="28" t="n">
        <f aca="false">RANK(D112,$D$69:$D$164,0)+COUNTIF($D$69:D112,D112)-1</f>
        <v>84</v>
      </c>
    </row>
    <row r="113" customFormat="false" ht="15" hidden="false" customHeight="true" outlineLevel="0" collapsed="false">
      <c r="B113" s="28" t="s">
        <v>208</v>
      </c>
      <c r="C113" s="28" t="n">
        <f aca="false">SUMIFS(Transactions!$H$2:$H$603,Transactions!$F$2:$F$603,B113,Transactions!$D$2:$D$603,"Sale")</f>
        <v>360</v>
      </c>
      <c r="D113" s="19" t="n">
        <f aca="false">SUMIFS(Transactions!$I$2:$I$603,Transactions!$F$2:$F$603,B113,Transactions!$D$2:$D$603,"Sale")</f>
        <v>52080</v>
      </c>
      <c r="E113" s="29" t="n">
        <f aca="false">IF(SUM($D$69:$D$164)&gt;0,D113/SUM($D$69:$D$164),0)</f>
        <v>0.00365668871839071</v>
      </c>
      <c r="F113" s="28" t="n">
        <f aca="false">RANK(D113,$D$69:$D$164,0)+COUNTIF($D$69:D113,D113)-1</f>
        <v>51</v>
      </c>
    </row>
    <row r="114" customFormat="false" ht="15" hidden="false" customHeight="true" outlineLevel="0" collapsed="false">
      <c r="B114" s="28" t="s">
        <v>134</v>
      </c>
      <c r="C114" s="28" t="n">
        <f aca="false">SUMIFS(Transactions!$H$2:$H$603,Transactions!$F$2:$F$603,B114,Transactions!$D$2:$D$603,"Sale")</f>
        <v>1590</v>
      </c>
      <c r="D114" s="19" t="n">
        <f aca="false">SUMIFS(Transactions!$I$2:$I$603,Transactions!$F$2:$F$603,B114,Transactions!$D$2:$D$603,"Sale")</f>
        <v>186750</v>
      </c>
      <c r="E114" s="29" t="n">
        <f aca="false">IF(SUM($D$69:$D$164)&gt;0,D114/SUM($D$69:$D$164),0)</f>
        <v>0.0131122622534459</v>
      </c>
      <c r="F114" s="28" t="n">
        <f aca="false">RANK(D114,$D$69:$D$164,0)+COUNTIF($D$69:D114,D114)-1</f>
        <v>21</v>
      </c>
    </row>
    <row r="115" customFormat="false" ht="15" hidden="false" customHeight="true" outlineLevel="0" collapsed="false">
      <c r="B115" s="28" t="s">
        <v>146</v>
      </c>
      <c r="C115" s="28" t="n">
        <f aca="false">SUMIFS(Transactions!$H$2:$H$603,Transactions!$F$2:$F$603,B115,Transactions!$D$2:$D$603,"Sale")</f>
        <v>120</v>
      </c>
      <c r="D115" s="19" t="n">
        <f aca="false">SUMIFS(Transactions!$I$2:$I$603,Transactions!$F$2:$F$603,B115,Transactions!$D$2:$D$603,"Sale")</f>
        <v>12360</v>
      </c>
      <c r="E115" s="29" t="n">
        <f aca="false">IF(SUM($D$69:$D$164)&gt;0,D115/SUM($D$69:$D$164),0)</f>
        <v>0.000867831654364615</v>
      </c>
      <c r="F115" s="28" t="n">
        <f aca="false">RANK(D115,$D$69:$D$164,0)+COUNTIF($D$69:D115,D115)-1</f>
        <v>81</v>
      </c>
    </row>
    <row r="116" customFormat="false" ht="15" hidden="false" customHeight="true" outlineLevel="0" collapsed="false">
      <c r="B116" s="28" t="s">
        <v>105</v>
      </c>
      <c r="C116" s="28" t="n">
        <f aca="false">SUMIFS(Transactions!$H$2:$H$603,Transactions!$F$2:$F$603,B116,Transactions!$D$2:$D$603,"Sale")</f>
        <v>5</v>
      </c>
      <c r="D116" s="19" t="n">
        <f aca="false">SUMIFS(Transactions!$I$2:$I$603,Transactions!$F$2:$F$603,B116,Transactions!$D$2:$D$603,"Sale")</f>
        <v>515</v>
      </c>
      <c r="E116" s="29" t="n">
        <f aca="false">IF(SUM($D$69:$D$164)&gt;0,D116/SUM($D$69:$D$164),0)</f>
        <v>3.61596522651923E-005</v>
      </c>
      <c r="F116" s="28" t="n">
        <f aca="false">RANK(D116,$D$69:$D$164,0)+COUNTIF($D$69:D116,D116)-1</f>
        <v>96</v>
      </c>
    </row>
    <row r="117" customFormat="false" ht="15" hidden="false" customHeight="true" outlineLevel="0" collapsed="false">
      <c r="B117" s="28" t="s">
        <v>163</v>
      </c>
      <c r="C117" s="28" t="n">
        <f aca="false">SUMIFS(Transactions!$H$2:$H$603,Transactions!$F$2:$F$603,B117,Transactions!$D$2:$D$603,"Sale")</f>
        <v>360</v>
      </c>
      <c r="D117" s="19" t="n">
        <f aca="false">SUMIFS(Transactions!$I$2:$I$603,Transactions!$F$2:$F$603,B117,Transactions!$D$2:$D$603,"Sale")</f>
        <v>36720</v>
      </c>
      <c r="E117" s="29" t="n">
        <f aca="false">IF(SUM($D$69:$D$164)&gt;0,D117/SUM($D$69:$D$164),0)</f>
        <v>0.00257821831296672</v>
      </c>
      <c r="F117" s="28" t="n">
        <f aca="false">RANK(D117,$D$69:$D$164,0)+COUNTIF($D$69:D117,D117)-1</f>
        <v>58</v>
      </c>
    </row>
    <row r="118" customFormat="false" ht="15" hidden="false" customHeight="true" outlineLevel="0" collapsed="false">
      <c r="B118" s="28" t="s">
        <v>178</v>
      </c>
      <c r="C118" s="28" t="n">
        <f aca="false">SUMIFS(Transactions!$H$2:$H$603,Transactions!$F$2:$F$603,B118,Transactions!$D$2:$D$603,"Sale")</f>
        <v>5790</v>
      </c>
      <c r="D118" s="19" t="n">
        <f aca="false">SUMIFS(Transactions!$I$2:$I$603,Transactions!$F$2:$F$603,B118,Transactions!$D$2:$D$603,"Sale")</f>
        <v>674430</v>
      </c>
      <c r="E118" s="29" t="n">
        <f aca="false">IF(SUM($D$69:$D$164)&gt;0,D118/SUM($D$69:$D$164),0)</f>
        <v>0.0473536976256575</v>
      </c>
      <c r="F118" s="28" t="n">
        <f aca="false">RANK(D118,$D$69:$D$164,0)+COUNTIF($D$69:D118,D118)-1</f>
        <v>7</v>
      </c>
    </row>
    <row r="119" customFormat="false" ht="15" hidden="false" customHeight="true" outlineLevel="0" collapsed="false">
      <c r="B119" s="28" t="s">
        <v>136</v>
      </c>
      <c r="C119" s="28" t="n">
        <f aca="false">SUMIFS(Transactions!$H$2:$H$603,Transactions!$F$2:$F$603,B119,Transactions!$D$2:$D$603,"Sale")</f>
        <v>4410</v>
      </c>
      <c r="D119" s="19" t="n">
        <f aca="false">SUMIFS(Transactions!$I$2:$I$603,Transactions!$F$2:$F$603,B119,Transactions!$D$2:$D$603,"Sale")</f>
        <v>541950</v>
      </c>
      <c r="E119" s="29" t="n">
        <f aca="false">IF(SUM($D$69:$D$164)&gt;0,D119/SUM($D$69:$D$164),0)</f>
        <v>0.0380518903788756</v>
      </c>
      <c r="F119" s="28" t="n">
        <f aca="false">RANK(D119,$D$69:$D$164,0)+COUNTIF($D$69:D119,D119)-1</f>
        <v>8</v>
      </c>
    </row>
    <row r="120" customFormat="false" ht="15" hidden="false" customHeight="true" outlineLevel="0" collapsed="false">
      <c r="B120" s="28" t="s">
        <v>139</v>
      </c>
      <c r="C120" s="28" t="n">
        <f aca="false">SUMIFS(Transactions!$H$2:$H$603,Transactions!$F$2:$F$603,B120,Transactions!$D$2:$D$603,"Sale")</f>
        <v>25</v>
      </c>
      <c r="D120" s="19" t="n">
        <f aca="false">SUMIFS(Transactions!$I$2:$I$603,Transactions!$F$2:$F$603,B120,Transactions!$D$2:$D$603,"Sale")</f>
        <v>3000</v>
      </c>
      <c r="E120" s="29" t="n">
        <f aca="false">IF(SUM($D$69:$D$164)&gt;0,D120/SUM($D$69:$D$164),0)</f>
        <v>0.000210638751059373</v>
      </c>
      <c r="F120" s="28" t="n">
        <f aca="false">RANK(D120,$D$69:$D$164,0)+COUNTIF($D$69:D120,D120)-1</f>
        <v>91</v>
      </c>
    </row>
    <row r="121" customFormat="false" ht="15" hidden="false" customHeight="true" outlineLevel="0" collapsed="false">
      <c r="B121" s="28" t="s">
        <v>174</v>
      </c>
      <c r="C121" s="28" t="n">
        <f aca="false">SUMIFS(Transactions!$H$2:$H$603,Transactions!$F$2:$F$603,B121,Transactions!$D$2:$D$603,"Sale")</f>
        <v>25</v>
      </c>
      <c r="D121" s="19" t="n">
        <f aca="false">SUMIFS(Transactions!$I$2:$I$603,Transactions!$F$2:$F$603,B121,Transactions!$D$2:$D$603,"Sale")</f>
        <v>3700</v>
      </c>
      <c r="E121" s="29" t="n">
        <f aca="false">IF(SUM($D$69:$D$164)&gt;0,D121/SUM($D$69:$D$164),0)</f>
        <v>0.000259787792973226</v>
      </c>
      <c r="F121" s="28" t="n">
        <f aca="false">RANK(D121,$D$69:$D$164,0)+COUNTIF($D$69:D121,D121)-1</f>
        <v>90</v>
      </c>
    </row>
    <row r="122" customFormat="false" ht="15" hidden="false" customHeight="true" outlineLevel="0" collapsed="false">
      <c r="B122" s="28" t="s">
        <v>159</v>
      </c>
      <c r="C122" s="28" t="n">
        <f aca="false">SUMIFS(Transactions!$H$2:$H$603,Transactions!$F$2:$F$603,B122,Transactions!$D$2:$D$603,"Sale")</f>
        <v>1230</v>
      </c>
      <c r="D122" s="19" t="n">
        <f aca="false">SUMIFS(Transactions!$I$2:$I$603,Transactions!$F$2:$F$603,B122,Transactions!$D$2:$D$603,"Sale")</f>
        <v>141270</v>
      </c>
      <c r="E122" s="29" t="n">
        <f aca="false">IF(SUM($D$69:$D$164)&gt;0,D122/SUM($D$69:$D$164),0)</f>
        <v>0.00991897878738585</v>
      </c>
      <c r="F122" s="28" t="n">
        <f aca="false">RANK(D122,$D$69:$D$164,0)+COUNTIF($D$69:D122,D122)-1</f>
        <v>27</v>
      </c>
    </row>
    <row r="123" customFormat="false" ht="15" hidden="false" customHeight="true" outlineLevel="0" collapsed="false">
      <c r="B123" s="28" t="s">
        <v>123</v>
      </c>
      <c r="C123" s="28" t="n">
        <f aca="false">SUMIFS(Transactions!$H$2:$H$603,Transactions!$F$2:$F$603,B123,Transactions!$D$2:$D$603,"Sale")</f>
        <v>620</v>
      </c>
      <c r="D123" s="19" t="n">
        <f aca="false">SUMIFS(Transactions!$I$2:$I$603,Transactions!$F$2:$F$603,B123,Transactions!$D$2:$D$603,"Sale")</f>
        <v>136260</v>
      </c>
      <c r="E123" s="29" t="n">
        <f aca="false">IF(SUM($D$69:$D$164)&gt;0,D123/SUM($D$69:$D$164),0)</f>
        <v>0.0095672120731167</v>
      </c>
      <c r="F123" s="28" t="n">
        <f aca="false">RANK(D123,$D$69:$D$164,0)+COUNTIF($D$69:D123,D123)-1</f>
        <v>28</v>
      </c>
    </row>
    <row r="124" customFormat="false" ht="15" hidden="false" customHeight="true" outlineLevel="0" collapsed="false">
      <c r="B124" s="28" t="s">
        <v>210</v>
      </c>
      <c r="C124" s="28" t="n">
        <f aca="false">SUMIFS(Transactions!$H$2:$H$603,Transactions!$F$2:$F$603,B124,Transactions!$D$2:$D$603,"Sale")</f>
        <v>240</v>
      </c>
      <c r="D124" s="19" t="n">
        <f aca="false">SUMIFS(Transactions!$I$2:$I$603,Transactions!$F$2:$F$603,B124,Transactions!$D$2:$D$603,"Sale")</f>
        <v>26640</v>
      </c>
      <c r="E124" s="29" t="n">
        <f aca="false">IF(SUM($D$69:$D$164)&gt;0,D124/SUM($D$69:$D$164),0)</f>
        <v>0.00187047210940723</v>
      </c>
      <c r="F124" s="28" t="n">
        <f aca="false">RANK(D124,$D$69:$D$164,0)+COUNTIF($D$69:D124,D124)-1</f>
        <v>66</v>
      </c>
    </row>
    <row r="125" customFormat="false" ht="15" hidden="false" customHeight="true" outlineLevel="0" collapsed="false">
      <c r="B125" s="28" t="s">
        <v>107</v>
      </c>
      <c r="C125" s="28" t="n">
        <f aca="false">SUMIFS(Transactions!$H$2:$H$603,Transactions!$F$2:$F$603,B125,Transactions!$D$2:$D$603,"Sale")</f>
        <v>600</v>
      </c>
      <c r="D125" s="19" t="n">
        <f aca="false">SUMIFS(Transactions!$I$2:$I$603,Transactions!$F$2:$F$603,B125,Transactions!$D$2:$D$603,"Sale")</f>
        <v>87720</v>
      </c>
      <c r="E125" s="29" t="n">
        <f aca="false">IF(SUM($D$69:$D$164)&gt;0,D125/SUM($D$69:$D$164),0)</f>
        <v>0.00615907708097605</v>
      </c>
      <c r="F125" s="28" t="n">
        <f aca="false">RANK(D125,$D$69:$D$164,0)+COUNTIF($D$69:D125,D125)-1</f>
        <v>38</v>
      </c>
    </row>
    <row r="126" customFormat="false" ht="15" hidden="false" customHeight="true" outlineLevel="0" collapsed="false">
      <c r="B126" s="28" t="s">
        <v>202</v>
      </c>
      <c r="C126" s="28" t="n">
        <f aca="false">SUMIFS(Transactions!$H$2:$H$603,Transactions!$F$2:$F$603,B126,Transactions!$D$2:$D$603,"Sale")</f>
        <v>240</v>
      </c>
      <c r="D126" s="19" t="n">
        <f aca="false">SUMIFS(Transactions!$I$2:$I$603,Transactions!$F$2:$F$603,B126,Transactions!$D$2:$D$603,"Sale")</f>
        <v>26760</v>
      </c>
      <c r="E126" s="29" t="n">
        <f aca="false">IF(SUM($D$69:$D$164)&gt;0,D126/SUM($D$69:$D$164),0)</f>
        <v>0.0018788976594496</v>
      </c>
      <c r="F126" s="28" t="n">
        <f aca="false">RANK(D126,$D$69:$D$164,0)+COUNTIF($D$69:D126,D126)-1</f>
        <v>65</v>
      </c>
    </row>
    <row r="127" customFormat="false" ht="15" hidden="false" customHeight="true" outlineLevel="0" collapsed="false">
      <c r="B127" s="28" t="s">
        <v>141</v>
      </c>
      <c r="C127" s="28" t="n">
        <f aca="false">SUMIFS(Transactions!$H$2:$H$603,Transactions!$F$2:$F$603,B127,Transactions!$D$2:$D$603,"Sale")</f>
        <v>90</v>
      </c>
      <c r="D127" s="19" t="n">
        <f aca="false">SUMIFS(Transactions!$I$2:$I$603,Transactions!$F$2:$F$603,B127,Transactions!$D$2:$D$603,"Sale")</f>
        <v>20610</v>
      </c>
      <c r="E127" s="29" t="n">
        <f aca="false">IF(SUM($D$69:$D$164)&gt;0,D127/SUM($D$69:$D$164),0)</f>
        <v>0.00144708821977789</v>
      </c>
      <c r="F127" s="28" t="n">
        <f aca="false">RANK(D127,$D$69:$D$164,0)+COUNTIF($D$69:D127,D127)-1</f>
        <v>72</v>
      </c>
    </row>
    <row r="128" customFormat="false" ht="15" hidden="false" customHeight="true" outlineLevel="0" collapsed="false">
      <c r="B128" s="28" t="s">
        <v>182</v>
      </c>
      <c r="C128" s="28" t="n">
        <f aca="false">SUMIFS(Transactions!$H$2:$H$603,Transactions!$F$2:$F$603,B128,Transactions!$D$2:$D$603,"Sale")</f>
        <v>480</v>
      </c>
      <c r="D128" s="19" t="n">
        <f aca="false">SUMIFS(Transactions!$I$2:$I$603,Transactions!$F$2:$F$603,B128,Transactions!$D$2:$D$603,"Sale")</f>
        <v>53280</v>
      </c>
      <c r="E128" s="29" t="n">
        <f aca="false">IF(SUM($D$69:$D$164)&gt;0,D128/SUM($D$69:$D$164),0)</f>
        <v>0.00374094421881446</v>
      </c>
      <c r="F128" s="28" t="n">
        <f aca="false">RANK(D128,$D$69:$D$164,0)+COUNTIF($D$69:D128,D128)-1</f>
        <v>50</v>
      </c>
    </row>
    <row r="129" customFormat="false" ht="15" hidden="false" customHeight="true" outlineLevel="0" collapsed="false">
      <c r="B129" s="28" t="s">
        <v>181</v>
      </c>
      <c r="C129" s="28" t="n">
        <f aca="false">SUMIFS(Transactions!$H$2:$H$603,Transactions!$F$2:$F$603,B129,Transactions!$D$2:$D$603,"Sale")</f>
        <v>30</v>
      </c>
      <c r="D129" s="19" t="n">
        <f aca="false">SUMIFS(Transactions!$I$2:$I$603,Transactions!$F$2:$F$603,B129,Transactions!$D$2:$D$603,"Sale")</f>
        <v>6870</v>
      </c>
      <c r="E129" s="29" t="n">
        <f aca="false">IF(SUM($D$69:$D$164)&gt;0,D129/SUM($D$69:$D$164),0)</f>
        <v>0.000482362739925963</v>
      </c>
      <c r="F129" s="28" t="n">
        <f aca="false">RANK(D129,$D$69:$D$164,0)+COUNTIF($D$69:D129,D129)-1</f>
        <v>87</v>
      </c>
    </row>
    <row r="130" customFormat="false" ht="15" hidden="false" customHeight="true" outlineLevel="0" collapsed="false">
      <c r="B130" s="28" t="s">
        <v>184</v>
      </c>
      <c r="C130" s="28" t="n">
        <f aca="false">SUMIFS(Transactions!$H$2:$H$603,Transactions!$F$2:$F$603,B130,Transactions!$D$2:$D$603,"Sale")</f>
        <v>1940</v>
      </c>
      <c r="D130" s="19" t="n">
        <f aca="false">SUMIFS(Transactions!$I$2:$I$603,Transactions!$F$2:$F$603,B130,Transactions!$D$2:$D$603,"Sale")</f>
        <v>273080</v>
      </c>
      <c r="E130" s="29" t="n">
        <f aca="false">IF(SUM($D$69:$D$164)&gt;0,D130/SUM($D$69:$D$164),0)</f>
        <v>0.0191737433797645</v>
      </c>
      <c r="F130" s="28" t="n">
        <f aca="false">RANK(D130,$D$69:$D$164,0)+COUNTIF($D$69:D130,D130)-1</f>
        <v>15</v>
      </c>
    </row>
    <row r="131" customFormat="false" ht="15" hidden="false" customHeight="true" outlineLevel="0" collapsed="false">
      <c r="B131" s="28" t="s">
        <v>160</v>
      </c>
      <c r="C131" s="28" t="n">
        <f aca="false">SUMIFS(Transactions!$H$2:$H$603,Transactions!$F$2:$F$603,B131,Transactions!$D$2:$D$603,"Sale")</f>
        <v>300</v>
      </c>
      <c r="D131" s="19" t="n">
        <f aca="false">SUMIFS(Transactions!$I$2:$I$603,Transactions!$F$2:$F$603,B131,Transactions!$D$2:$D$603,"Sale")</f>
        <v>36600</v>
      </c>
      <c r="E131" s="29" t="n">
        <f aca="false">IF(SUM($D$69:$D$164)&gt;0,D131/SUM($D$69:$D$164),0)</f>
        <v>0.00256979276292434</v>
      </c>
      <c r="F131" s="28" t="n">
        <f aca="false">RANK(D131,$D$69:$D$164,0)+COUNTIF($D$69:D131,D131)-1</f>
        <v>60</v>
      </c>
    </row>
    <row r="132" customFormat="false" ht="15" hidden="false" customHeight="true" outlineLevel="0" collapsed="false">
      <c r="B132" s="28" t="s">
        <v>169</v>
      </c>
      <c r="C132" s="28" t="n">
        <f aca="false">SUMIFS(Transactions!$H$2:$H$603,Transactions!$F$2:$F$603,B132,Transactions!$D$2:$D$603,"Sale")</f>
        <v>540</v>
      </c>
      <c r="D132" s="19" t="n">
        <f aca="false">SUMIFS(Transactions!$I$2:$I$603,Transactions!$F$2:$F$603,B132,Transactions!$D$2:$D$603,"Sale")</f>
        <v>65880</v>
      </c>
      <c r="E132" s="29" t="n">
        <f aca="false">IF(SUM($D$69:$D$164)&gt;0,D132/SUM($D$69:$D$164),0)</f>
        <v>0.00462562697326382</v>
      </c>
      <c r="F132" s="28" t="n">
        <f aca="false">RANK(D132,$D$69:$D$164,0)+COUNTIF($D$69:D132,D132)-1</f>
        <v>44</v>
      </c>
    </row>
    <row r="133" customFormat="false" ht="15" hidden="false" customHeight="true" outlineLevel="0" collapsed="false">
      <c r="B133" s="28" t="s">
        <v>113</v>
      </c>
      <c r="C133" s="28" t="n">
        <f aca="false">SUMIFS(Transactions!$H$2:$H$603,Transactions!$F$2:$F$603,B133,Transactions!$D$2:$D$603,"Sale")</f>
        <v>2530</v>
      </c>
      <c r="D133" s="19" t="n">
        <f aca="false">SUMIFS(Transactions!$I$2:$I$603,Transactions!$F$2:$F$603,B133,Transactions!$D$2:$D$603,"Sale")</f>
        <v>295140</v>
      </c>
      <c r="E133" s="29" t="n">
        <f aca="false">IF(SUM($D$69:$D$164)&gt;0,D133/SUM($D$69:$D$164),0)</f>
        <v>0.0207226403292211</v>
      </c>
      <c r="F133" s="28" t="n">
        <f aca="false">RANK(D133,$D$69:$D$164,0)+COUNTIF($D$69:D133,D133)-1</f>
        <v>13</v>
      </c>
    </row>
    <row r="134" customFormat="false" ht="15" hidden="false" customHeight="true" outlineLevel="0" collapsed="false">
      <c r="B134" s="28" t="s">
        <v>121</v>
      </c>
      <c r="C134" s="28" t="n">
        <f aca="false">SUMIFS(Transactions!$H$2:$H$603,Transactions!$F$2:$F$603,B134,Transactions!$D$2:$D$603,"Sale")</f>
        <v>745</v>
      </c>
      <c r="D134" s="19" t="n">
        <f aca="false">SUMIFS(Transactions!$I$2:$I$603,Transactions!$F$2:$F$603,B134,Transactions!$D$2:$D$603,"Sale")</f>
        <v>83915</v>
      </c>
      <c r="E134" s="29" t="n">
        <f aca="false">IF(SUM($D$69:$D$164)&gt;0,D134/SUM($D$69:$D$164),0)</f>
        <v>0.00589191693171575</v>
      </c>
      <c r="F134" s="28" t="n">
        <f aca="false">RANK(D134,$D$69:$D$164,0)+COUNTIF($D$69:D134,D134)-1</f>
        <v>41</v>
      </c>
    </row>
    <row r="135" customFormat="false" ht="15" hidden="false" customHeight="true" outlineLevel="0" collapsed="false">
      <c r="B135" s="28" t="s">
        <v>148</v>
      </c>
      <c r="C135" s="28" t="n">
        <f aca="false">SUMIFS(Transactions!$H$2:$H$603,Transactions!$F$2:$F$603,B135,Transactions!$D$2:$D$603,"Sale")</f>
        <v>1688</v>
      </c>
      <c r="D135" s="19" t="n">
        <f aca="false">SUMIFS(Transactions!$I$2:$I$603,Transactions!$F$2:$F$603,B135,Transactions!$D$2:$D$603,"Sale")</f>
        <v>198216</v>
      </c>
      <c r="E135" s="29" t="n">
        <f aca="false">IF(SUM($D$69:$D$164)&gt;0,D135/SUM($D$69:$D$164),0)</f>
        <v>0.0139173235599949</v>
      </c>
      <c r="F135" s="28" t="n">
        <f aca="false">RANK(D135,$D$69:$D$164,0)+COUNTIF($D$69:D135,D135)-1</f>
        <v>20</v>
      </c>
    </row>
    <row r="136" customFormat="false" ht="15" hidden="false" customHeight="true" outlineLevel="0" collapsed="false">
      <c r="B136" s="28" t="s">
        <v>201</v>
      </c>
      <c r="C136" s="28" t="n">
        <f aca="false">SUMIFS(Transactions!$H$2:$H$603,Transactions!$F$2:$F$603,B136,Transactions!$D$2:$D$603,"Sale")</f>
        <v>540</v>
      </c>
      <c r="D136" s="19" t="n">
        <f aca="false">SUMIFS(Transactions!$I$2:$I$603,Transactions!$F$2:$F$603,B136,Transactions!$D$2:$D$603,"Sale")</f>
        <v>70320</v>
      </c>
      <c r="E136" s="29" t="n">
        <f aca="false">IF(SUM($D$69:$D$164)&gt;0,D136/SUM($D$69:$D$164),0)</f>
        <v>0.00493737232483169</v>
      </c>
      <c r="F136" s="28" t="n">
        <f aca="false">RANK(D136,$D$69:$D$164,0)+COUNTIF($D$69:D136,D136)-1</f>
        <v>43</v>
      </c>
    </row>
    <row r="137" customFormat="false" ht="15" hidden="false" customHeight="true" outlineLevel="0" collapsed="false">
      <c r="B137" s="28" t="s">
        <v>103</v>
      </c>
      <c r="C137" s="28" t="n">
        <f aca="false">SUMIFS(Transactions!$H$2:$H$603,Transactions!$F$2:$F$603,B137,Transactions!$D$2:$D$603,"Sale")</f>
        <v>225</v>
      </c>
      <c r="D137" s="19" t="n">
        <f aca="false">SUMIFS(Transactions!$I$2:$I$603,Transactions!$F$2:$F$603,B137,Transactions!$D$2:$D$603,"Sale")</f>
        <v>30450</v>
      </c>
      <c r="E137" s="29" t="n">
        <f aca="false">IF(SUM($D$69:$D$164)&gt;0,D137/SUM($D$69:$D$164),0)</f>
        <v>0.00213798332325263</v>
      </c>
      <c r="F137" s="28" t="n">
        <f aca="false">RANK(D137,$D$69:$D$164,0)+COUNTIF($D$69:D137,D137)-1</f>
        <v>61</v>
      </c>
    </row>
    <row r="138" customFormat="false" ht="15" hidden="false" customHeight="true" outlineLevel="0" collapsed="false">
      <c r="B138" s="28" t="s">
        <v>204</v>
      </c>
      <c r="C138" s="28" t="n">
        <f aca="false">SUMIFS(Transactions!$H$2:$H$603,Transactions!$F$2:$F$603,B138,Transactions!$D$2:$D$603,"Sale")</f>
        <v>220</v>
      </c>
      <c r="D138" s="19" t="n">
        <f aca="false">SUMIFS(Transactions!$I$2:$I$603,Transactions!$F$2:$F$603,B138,Transactions!$D$2:$D$603,"Sale")</f>
        <v>20460</v>
      </c>
      <c r="E138" s="29" t="n">
        <f aca="false">IF(SUM($D$69:$D$164)&gt;0,D138/SUM($D$69:$D$164),0)</f>
        <v>0.00143655628222492</v>
      </c>
      <c r="F138" s="28" t="n">
        <f aca="false">RANK(D138,$D$69:$D$164,0)+COUNTIF($D$69:D138,D138)-1</f>
        <v>73</v>
      </c>
    </row>
    <row r="139" customFormat="false" ht="15" hidden="false" customHeight="true" outlineLevel="0" collapsed="false">
      <c r="B139" s="28" t="s">
        <v>131</v>
      </c>
      <c r="C139" s="28" t="n">
        <f aca="false">SUMIFS(Transactions!$H$2:$H$603,Transactions!$F$2:$F$603,B139,Transactions!$D$2:$D$603,"Sale")</f>
        <v>646</v>
      </c>
      <c r="D139" s="19" t="n">
        <f aca="false">SUMIFS(Transactions!$I$2:$I$603,Transactions!$F$2:$F$603,B139,Transactions!$D$2:$D$603,"Sale")</f>
        <v>86332</v>
      </c>
      <c r="E139" s="29" t="n">
        <f aca="false">IF(SUM($D$69:$D$164)&gt;0,D139/SUM($D$69:$D$164),0)</f>
        <v>0.00606162155215258</v>
      </c>
      <c r="F139" s="28" t="n">
        <f aca="false">RANK(D139,$D$69:$D$164,0)+COUNTIF($D$69:D139,D139)-1</f>
        <v>39</v>
      </c>
    </row>
    <row r="140" customFormat="false" ht="15" hidden="false" customHeight="true" outlineLevel="0" collapsed="false">
      <c r="B140" s="28" t="s">
        <v>143</v>
      </c>
      <c r="C140" s="28" t="n">
        <f aca="false">SUMIFS(Transactions!$H$2:$H$603,Transactions!$F$2:$F$603,B140,Transactions!$D$2:$D$603,"Sale")</f>
        <v>375</v>
      </c>
      <c r="D140" s="19" t="n">
        <f aca="false">SUMIFS(Transactions!$I$2:$I$603,Transactions!$F$2:$F$603,B140,Transactions!$D$2:$D$603,"Sale")</f>
        <v>51900</v>
      </c>
      <c r="E140" s="29" t="n">
        <f aca="false">IF(SUM($D$69:$D$164)&gt;0,D140/SUM($D$69:$D$164),0)</f>
        <v>0.00364405039332714</v>
      </c>
      <c r="F140" s="28" t="n">
        <f aca="false">RANK(D140,$D$69:$D$164,0)+COUNTIF($D$69:D140,D140)-1</f>
        <v>52</v>
      </c>
    </row>
    <row r="141" customFormat="false" ht="15" hidden="false" customHeight="true" outlineLevel="0" collapsed="false">
      <c r="B141" s="28" t="s">
        <v>172</v>
      </c>
      <c r="C141" s="28" t="n">
        <f aca="false">SUMIFS(Transactions!$H$2:$H$603,Transactions!$F$2:$F$603,B141,Transactions!$D$2:$D$603,"Sale")</f>
        <v>1100</v>
      </c>
      <c r="D141" s="19" t="n">
        <f aca="false">SUMIFS(Transactions!$I$2:$I$603,Transactions!$F$2:$F$603,B141,Transactions!$D$2:$D$603,"Sale")</f>
        <v>144750</v>
      </c>
      <c r="E141" s="29" t="n">
        <f aca="false">IF(SUM($D$69:$D$164)&gt;0,D141/SUM($D$69:$D$164),0)</f>
        <v>0.0101633197386147</v>
      </c>
      <c r="F141" s="28" t="n">
        <f aca="false">RANK(D141,$D$69:$D$164,0)+COUNTIF($D$69:D141,D141)-1</f>
        <v>25</v>
      </c>
    </row>
    <row r="142" customFormat="false" ht="15" hidden="false" customHeight="true" outlineLevel="0" collapsed="false">
      <c r="B142" s="28" t="s">
        <v>189</v>
      </c>
      <c r="C142" s="28" t="n">
        <f aca="false">SUMIFS(Transactions!$H$2:$H$603,Transactions!$F$2:$F$603,B142,Transactions!$D$2:$D$603,"Sale")</f>
        <v>25</v>
      </c>
      <c r="D142" s="19" t="n">
        <f aca="false">SUMIFS(Transactions!$I$2:$I$603,Transactions!$F$2:$F$603,B142,Transactions!$D$2:$D$603,"Sale")</f>
        <v>5075</v>
      </c>
      <c r="E142" s="29" t="n">
        <f aca="false">IF(SUM($D$69:$D$164)&gt;0,D142/SUM($D$69:$D$164),0)</f>
        <v>0.000356330553875439</v>
      </c>
      <c r="F142" s="28" t="n">
        <f aca="false">RANK(D142,$D$69:$D$164,0)+COUNTIF($D$69:D142,D142)-1</f>
        <v>88</v>
      </c>
    </row>
    <row r="143" customFormat="false" ht="15" hidden="false" customHeight="true" outlineLevel="0" collapsed="false">
      <c r="B143" s="28" t="s">
        <v>186</v>
      </c>
      <c r="C143" s="28" t="n">
        <f aca="false">SUMIFS(Transactions!$H$2:$H$603,Transactions!$F$2:$F$603,B143,Transactions!$D$2:$D$603,"Sale")</f>
        <v>50</v>
      </c>
      <c r="D143" s="19" t="n">
        <f aca="false">SUMIFS(Transactions!$I$2:$I$603,Transactions!$F$2:$F$603,B143,Transactions!$D$2:$D$603,"Sale")</f>
        <v>9000</v>
      </c>
      <c r="E143" s="29" t="n">
        <f aca="false">IF(SUM($D$69:$D$164)&gt;0,D143/SUM($D$69:$D$164),0)</f>
        <v>0.000631916253178118</v>
      </c>
      <c r="F143" s="28" t="n">
        <f aca="false">RANK(D143,$D$69:$D$164,0)+COUNTIF($D$69:D143,D143)-1</f>
        <v>85</v>
      </c>
    </row>
    <row r="144" customFormat="false" ht="15" hidden="false" customHeight="true" outlineLevel="0" collapsed="false">
      <c r="B144" s="28" t="s">
        <v>133</v>
      </c>
      <c r="C144" s="28" t="n">
        <f aca="false">SUMIFS(Transactions!$H$2:$H$603,Transactions!$F$2:$F$603,B144,Transactions!$D$2:$D$603,"Sale")</f>
        <v>750</v>
      </c>
      <c r="D144" s="19" t="n">
        <f aca="false">SUMIFS(Transactions!$I$2:$I$603,Transactions!$F$2:$F$603,B144,Transactions!$D$2:$D$603,"Sale")</f>
        <v>63750</v>
      </c>
      <c r="E144" s="29" t="n">
        <f aca="false">IF(SUM($D$69:$D$164)&gt;0,D144/SUM($D$69:$D$164),0)</f>
        <v>0.00447607346001167</v>
      </c>
      <c r="F144" s="28" t="n">
        <f aca="false">RANK(D144,$D$69:$D$164,0)+COUNTIF($D$69:D144,D144)-1</f>
        <v>46</v>
      </c>
    </row>
    <row r="145" customFormat="false" ht="15" hidden="false" customHeight="true" outlineLevel="0" collapsed="false">
      <c r="B145" s="28" t="s">
        <v>153</v>
      </c>
      <c r="C145" s="28" t="n">
        <f aca="false">SUMIFS(Transactions!$H$2:$H$603,Transactions!$F$2:$F$603,B145,Transactions!$D$2:$D$603,"Sale")</f>
        <v>200</v>
      </c>
      <c r="D145" s="19" t="n">
        <f aca="false">SUMIFS(Transactions!$I$2:$I$603,Transactions!$F$2:$F$603,B145,Transactions!$D$2:$D$603,"Sale")</f>
        <v>25200</v>
      </c>
      <c r="E145" s="29" t="n">
        <f aca="false">IF(SUM($D$69:$D$164)&gt;0,D145/SUM($D$69:$D$164),0)</f>
        <v>0.00176936550889873</v>
      </c>
      <c r="F145" s="28" t="n">
        <f aca="false">RANK(D145,$D$69:$D$164,0)+COUNTIF($D$69:D145,D145)-1</f>
        <v>69</v>
      </c>
    </row>
    <row r="146" customFormat="false" ht="15" hidden="false" customHeight="true" outlineLevel="0" collapsed="false">
      <c r="B146" s="28" t="s">
        <v>188</v>
      </c>
      <c r="C146" s="28" t="n">
        <f aca="false">SUMIFS(Transactions!$H$2:$H$603,Transactions!$F$2:$F$603,B146,Transactions!$D$2:$D$603,"Sale")</f>
        <v>150</v>
      </c>
      <c r="D146" s="19" t="n">
        <f aca="false">SUMIFS(Transactions!$I$2:$I$603,Transactions!$F$2:$F$603,B146,Transactions!$D$2:$D$603,"Sale")</f>
        <v>18900</v>
      </c>
      <c r="E146" s="29" t="n">
        <f aca="false">IF(SUM($D$69:$D$164)&gt;0,D146/SUM($D$69:$D$164),0)</f>
        <v>0.00132702413167405</v>
      </c>
      <c r="F146" s="28" t="n">
        <f aca="false">RANK(D146,$D$69:$D$164,0)+COUNTIF($D$69:D146,D146)-1</f>
        <v>76</v>
      </c>
    </row>
    <row r="147" customFormat="false" ht="15" hidden="false" customHeight="true" outlineLevel="0" collapsed="false">
      <c r="B147" s="28" t="s">
        <v>118</v>
      </c>
      <c r="C147" s="28" t="n">
        <f aca="false">SUMIFS(Transactions!$H$2:$H$603,Transactions!$F$2:$F$603,B147,Transactions!$D$2:$D$603,"Sale")</f>
        <v>450</v>
      </c>
      <c r="D147" s="19" t="n">
        <f aca="false">SUMIFS(Transactions!$I$2:$I$603,Transactions!$F$2:$F$603,B147,Transactions!$D$2:$D$603,"Sale")</f>
        <v>97750</v>
      </c>
      <c r="E147" s="29" t="n">
        <f aca="false">IF(SUM($D$69:$D$164)&gt;0,D147/SUM($D$69:$D$164),0)</f>
        <v>0.00686331263868455</v>
      </c>
      <c r="F147" s="28" t="n">
        <f aca="false">RANK(D147,$D$69:$D$164,0)+COUNTIF($D$69:D147,D147)-1</f>
        <v>36</v>
      </c>
    </row>
    <row r="148" customFormat="false" ht="15" hidden="false" customHeight="true" outlineLevel="0" collapsed="false">
      <c r="B148" s="28" t="s">
        <v>167</v>
      </c>
      <c r="C148" s="28" t="n">
        <f aca="false">SUMIFS(Transactions!$H$2:$H$603,Transactions!$F$2:$F$603,B148,Transactions!$D$2:$D$603,"Sale")</f>
        <v>120</v>
      </c>
      <c r="D148" s="19" t="n">
        <f aca="false">SUMIFS(Transactions!$I$2:$I$603,Transactions!$F$2:$F$603,B148,Transactions!$D$2:$D$603,"Sale")</f>
        <v>26520</v>
      </c>
      <c r="E148" s="29" t="n">
        <f aca="false">IF(SUM($D$69:$D$164)&gt;0,D148/SUM($D$69:$D$164),0)</f>
        <v>0.00186204655936485</v>
      </c>
      <c r="F148" s="28" t="n">
        <f aca="false">RANK(D148,$D$69:$D$164,0)+COUNTIF($D$69:D148,D148)-1</f>
        <v>67</v>
      </c>
    </row>
    <row r="149" customFormat="false" ht="15" hidden="false" customHeight="true" outlineLevel="0" collapsed="false">
      <c r="B149" s="28" t="s">
        <v>205</v>
      </c>
      <c r="C149" s="28" t="n">
        <f aca="false">SUMIFS(Transactions!$H$2:$H$603,Transactions!$F$2:$F$603,B149,Transactions!$D$2:$D$603,"Sale")</f>
        <v>100</v>
      </c>
      <c r="D149" s="19" t="n">
        <f aca="false">SUMIFS(Transactions!$I$2:$I$603,Transactions!$F$2:$F$603,B149,Transactions!$D$2:$D$603,"Sale")</f>
        <v>21100</v>
      </c>
      <c r="E149" s="29" t="n">
        <f aca="false">IF(SUM($D$69:$D$164)&gt;0,D149/SUM($D$69:$D$164),0)</f>
        <v>0.00148149254911759</v>
      </c>
      <c r="F149" s="28" t="n">
        <f aca="false">RANK(D149,$D$69:$D$164,0)+COUNTIF($D$69:D149,D149)-1</f>
        <v>71</v>
      </c>
    </row>
    <row r="150" customFormat="false" ht="15" hidden="false" customHeight="true" outlineLevel="0" collapsed="false">
      <c r="B150" s="28" t="s">
        <v>137</v>
      </c>
      <c r="C150" s="28" t="n">
        <f aca="false">SUMIFS(Transactions!$H$2:$H$603,Transactions!$F$2:$F$603,B150,Transactions!$D$2:$D$603,"Sale")</f>
        <v>1100</v>
      </c>
      <c r="D150" s="19" t="n">
        <f aca="false">SUMIFS(Transactions!$I$2:$I$603,Transactions!$F$2:$F$603,B150,Transactions!$D$2:$D$603,"Sale")</f>
        <v>144750</v>
      </c>
      <c r="E150" s="29" t="n">
        <f aca="false">IF(SUM($D$69:$D$164)&gt;0,D150/SUM($D$69:$D$164),0)</f>
        <v>0.0101633197386147</v>
      </c>
      <c r="F150" s="28" t="n">
        <f aca="false">RANK(D150,$D$69:$D$164,0)+COUNTIF($D$69:D150,D150)-1</f>
        <v>26</v>
      </c>
    </row>
    <row r="151" customFormat="false" ht="15" hidden="false" customHeight="true" outlineLevel="0" collapsed="false">
      <c r="B151" s="28" t="s">
        <v>194</v>
      </c>
      <c r="C151" s="28" t="n">
        <f aca="false">SUMIFS(Transactions!$H$2:$H$603,Transactions!$F$2:$F$603,B151,Transactions!$D$2:$D$603,"Sale")</f>
        <v>4750</v>
      </c>
      <c r="D151" s="19" t="n">
        <f aca="false">SUMIFS(Transactions!$I$2:$I$603,Transactions!$F$2:$F$603,B151,Transactions!$D$2:$D$603,"Sale")</f>
        <v>944680</v>
      </c>
      <c r="E151" s="29" t="n">
        <f aca="false">IF(SUM($D$69:$D$164)&gt;0,D151/SUM($D$69:$D$164),0)</f>
        <v>0.066328738450256</v>
      </c>
      <c r="F151" s="28" t="n">
        <f aca="false">RANK(D151,$D$69:$D$164,0)+COUNTIF($D$69:D151,D151)-1</f>
        <v>2</v>
      </c>
    </row>
    <row r="152" customFormat="false" ht="15" hidden="false" customHeight="true" outlineLevel="0" collapsed="false">
      <c r="B152" s="28" t="s">
        <v>104</v>
      </c>
      <c r="C152" s="28" t="n">
        <f aca="false">SUMIFS(Transactions!$H$2:$H$603,Transactions!$F$2:$F$603,B152,Transactions!$D$2:$D$603,"Sale")</f>
        <v>2040</v>
      </c>
      <c r="D152" s="19" t="n">
        <f aca="false">SUMIFS(Transactions!$I$2:$I$603,Transactions!$F$2:$F$603,B152,Transactions!$D$2:$D$603,"Sale")</f>
        <v>245280</v>
      </c>
      <c r="E152" s="29" t="n">
        <f aca="false">IF(SUM($D$69:$D$164)&gt;0,D152/SUM($D$69:$D$164),0)</f>
        <v>0.0172218242866143</v>
      </c>
      <c r="F152" s="28" t="n">
        <f aca="false">RANK(D152,$D$69:$D$164,0)+COUNTIF($D$69:D152,D152)-1</f>
        <v>16</v>
      </c>
    </row>
    <row r="153" customFormat="false" ht="15" hidden="false" customHeight="true" outlineLevel="0" collapsed="false">
      <c r="B153" s="28" t="s">
        <v>145</v>
      </c>
      <c r="C153" s="28" t="n">
        <f aca="false">SUMIFS(Transactions!$H$2:$H$603,Transactions!$F$2:$F$603,B153,Transactions!$D$2:$D$603,"Sale")</f>
        <v>4750</v>
      </c>
      <c r="D153" s="19" t="n">
        <f aca="false">SUMIFS(Transactions!$I$2:$I$603,Transactions!$F$2:$F$603,B153,Transactions!$D$2:$D$603,"Sale")</f>
        <v>944680</v>
      </c>
      <c r="E153" s="29" t="n">
        <f aca="false">IF(SUM($D$69:$D$164)&gt;0,D153/SUM($D$69:$D$164),0)</f>
        <v>0.066328738450256</v>
      </c>
      <c r="F153" s="28" t="n">
        <f aca="false">RANK(D153,$D$69:$D$164,0)+COUNTIF($D$69:D153,D153)-1</f>
        <v>3</v>
      </c>
    </row>
    <row r="154" customFormat="false" ht="15" hidden="false" customHeight="true" outlineLevel="0" collapsed="false">
      <c r="B154" s="28" t="s">
        <v>117</v>
      </c>
      <c r="C154" s="28" t="n">
        <f aca="false">SUMIFS(Transactions!$H$2:$H$603,Transactions!$F$2:$F$603,B154,Transactions!$D$2:$D$603,"Sale")</f>
        <v>690</v>
      </c>
      <c r="D154" s="19" t="n">
        <f aca="false">SUMIFS(Transactions!$I$2:$I$603,Transactions!$F$2:$F$603,B154,Transactions!$D$2:$D$603,"Sale")</f>
        <v>62170</v>
      </c>
      <c r="E154" s="29" t="n">
        <f aca="false">IF(SUM($D$69:$D$164)&gt;0,D154/SUM($D$69:$D$164),0)</f>
        <v>0.0043651370511204</v>
      </c>
      <c r="F154" s="28" t="n">
        <f aca="false">RANK(D154,$D$69:$D$164,0)+COUNTIF($D$69:D154,D154)-1</f>
        <v>47</v>
      </c>
    </row>
    <row r="155" customFormat="false" ht="15" hidden="false" customHeight="true" outlineLevel="0" collapsed="false">
      <c r="B155" s="28" t="s">
        <v>152</v>
      </c>
      <c r="C155" s="28" t="n">
        <f aca="false">SUMIFS(Transactions!$H$2:$H$603,Transactions!$F$2:$F$603,B155,Transactions!$D$2:$D$603,"Sale")</f>
        <v>3360</v>
      </c>
      <c r="D155" s="19" t="n">
        <f aca="false">SUMIFS(Transactions!$I$2:$I$603,Transactions!$F$2:$F$603,B155,Transactions!$D$2:$D$603,"Sale")</f>
        <v>304080</v>
      </c>
      <c r="E155" s="29" t="n">
        <f aca="false">IF(SUM($D$69:$D$164)&gt;0,D155/SUM($D$69:$D$164),0)</f>
        <v>0.021350343807378</v>
      </c>
      <c r="F155" s="28" t="n">
        <f aca="false">RANK(D155,$D$69:$D$164,0)+COUNTIF($D$69:D155,D155)-1</f>
        <v>11</v>
      </c>
    </row>
    <row r="156" customFormat="false" ht="15" hidden="false" customHeight="true" outlineLevel="0" collapsed="false">
      <c r="B156" s="28" t="s">
        <v>127</v>
      </c>
      <c r="C156" s="28" t="n">
        <f aca="false">SUMIFS(Transactions!$H$2:$H$603,Transactions!$F$2:$F$603,B156,Transactions!$D$2:$D$603,"Sale")</f>
        <v>565</v>
      </c>
      <c r="D156" s="19" t="n">
        <f aca="false">SUMIFS(Transactions!$I$2:$I$603,Transactions!$F$2:$F$603,B156,Transactions!$D$2:$D$603,"Sale")</f>
        <v>102405</v>
      </c>
      <c r="E156" s="29" t="n">
        <f aca="false">IF(SUM($D$69:$D$164)&gt;0,D156/SUM($D$69:$D$164),0)</f>
        <v>0.00719015376741168</v>
      </c>
      <c r="F156" s="28" t="n">
        <f aca="false">RANK(D156,$D$69:$D$164,0)+COUNTIF($D$69:D156,D156)-1</f>
        <v>35</v>
      </c>
    </row>
    <row r="157" customFormat="false" ht="15" hidden="false" customHeight="true" outlineLevel="0" collapsed="false">
      <c r="B157" s="28" t="s">
        <v>161</v>
      </c>
      <c r="C157" s="28" t="n">
        <f aca="false">SUMIFS(Transactions!$H$2:$H$603,Transactions!$F$2:$F$603,B157,Transactions!$D$2:$D$603,"Sale")</f>
        <v>196</v>
      </c>
      <c r="D157" s="19" t="n">
        <f aca="false">SUMIFS(Transactions!$I$2:$I$603,Transactions!$F$2:$F$603,B157,Transactions!$D$2:$D$603,"Sale")</f>
        <v>24260</v>
      </c>
      <c r="E157" s="29" t="n">
        <f aca="false">IF(SUM($D$69:$D$164)&gt;0,D157/SUM($D$69:$D$164),0)</f>
        <v>0.00170336536690013</v>
      </c>
      <c r="F157" s="28" t="n">
        <f aca="false">RANK(D157,$D$69:$D$164,0)+COUNTIF($D$69:D157,D157)-1</f>
        <v>70</v>
      </c>
    </row>
    <row r="158" customFormat="false" ht="15" hidden="false" customHeight="true" outlineLevel="0" collapsed="false">
      <c r="B158" s="28" t="s">
        <v>168</v>
      </c>
      <c r="C158" s="28" t="n">
        <f aca="false">SUMIFS(Transactions!$H$2:$H$603,Transactions!$F$2:$F$603,B158,Transactions!$D$2:$D$603,"Sale")</f>
        <v>100</v>
      </c>
      <c r="D158" s="19" t="n">
        <f aca="false">SUMIFS(Transactions!$I$2:$I$603,Transactions!$F$2:$F$603,B158,Transactions!$D$2:$D$603,"Sale")</f>
        <v>12788</v>
      </c>
      <c r="E158" s="29" t="n">
        <f aca="false">IF(SUM($D$69:$D$164)&gt;0,D158/SUM($D$69:$D$164),0)</f>
        <v>0.000897882782849085</v>
      </c>
      <c r="F158" s="28" t="n">
        <f aca="false">RANK(D158,$D$69:$D$164,0)+COUNTIF($D$69:D158,D158)-1</f>
        <v>80</v>
      </c>
    </row>
    <row r="159" customFormat="false" ht="15" hidden="false" customHeight="true" outlineLevel="0" collapsed="false">
      <c r="B159" s="28" t="s">
        <v>207</v>
      </c>
      <c r="C159" s="28" t="n">
        <f aca="false">SUMIFS(Transactions!$H$2:$H$603,Transactions!$F$2:$F$603,B159,Transactions!$D$2:$D$603,"Sale")</f>
        <v>600</v>
      </c>
      <c r="D159" s="19" t="n">
        <f aca="false">SUMIFS(Transactions!$I$2:$I$603,Transactions!$F$2:$F$603,B159,Transactions!$D$2:$D$603,"Sale")</f>
        <v>111000</v>
      </c>
      <c r="E159" s="29" t="n">
        <f aca="false">IF(SUM($D$69:$D$164)&gt;0,D159/SUM($D$69:$D$164),0)</f>
        <v>0.00779363378919678</v>
      </c>
      <c r="F159" s="28" t="n">
        <f aca="false">RANK(D159,$D$69:$D$164,0)+COUNTIF($D$69:D159,D159)-1</f>
        <v>34</v>
      </c>
    </row>
    <row r="160" customFormat="false" ht="15" hidden="false" customHeight="true" outlineLevel="0" collapsed="false">
      <c r="B160" s="28" t="s">
        <v>206</v>
      </c>
      <c r="C160" s="28" t="n">
        <f aca="false">SUMIFS(Transactions!$H$2:$H$603,Transactions!$F$2:$F$603,B160,Transactions!$D$2:$D$603,"Sale")</f>
        <v>4</v>
      </c>
      <c r="D160" s="19" t="n">
        <f aca="false">SUMIFS(Transactions!$I$2:$I$603,Transactions!$F$2:$F$603,B160,Transactions!$D$2:$D$603,"Sale")</f>
        <v>1080</v>
      </c>
      <c r="E160" s="29" t="n">
        <f aca="false">IF(SUM($D$69:$D$164)&gt;0,D160/SUM($D$69:$D$164),0)</f>
        <v>7.58299503813741E-005</v>
      </c>
      <c r="F160" s="28" t="n">
        <f aca="false">RANK(D160,$D$69:$D$164,0)+COUNTIF($D$69:D160,D160)-1</f>
        <v>95</v>
      </c>
    </row>
    <row r="161" customFormat="false" ht="15" hidden="false" customHeight="true" outlineLevel="0" collapsed="false">
      <c r="B161" s="28" t="s">
        <v>116</v>
      </c>
      <c r="C161" s="28" t="n">
        <f aca="false">SUMIFS(Transactions!$H$2:$H$603,Transactions!$F$2:$F$603,B161,Transactions!$D$2:$D$603,"Sale")</f>
        <v>2760</v>
      </c>
      <c r="D161" s="19" t="n">
        <f aca="false">SUMIFS(Transactions!$I$2:$I$603,Transactions!$F$2:$F$603,B161,Transactions!$D$2:$D$603,"Sale")</f>
        <v>293520</v>
      </c>
      <c r="E161" s="29" t="n">
        <f aca="false">IF(SUM($D$69:$D$164)&gt;0,D161/SUM($D$69:$D$164),0)</f>
        <v>0.020608895403649</v>
      </c>
      <c r="F161" s="28" t="n">
        <f aca="false">RANK(D161,$D$69:$D$164,0)+COUNTIF($D$69:D161,D161)-1</f>
        <v>14</v>
      </c>
    </row>
    <row r="162" customFormat="false" ht="15" hidden="false" customHeight="true" outlineLevel="0" collapsed="false">
      <c r="B162" s="28" t="s">
        <v>211</v>
      </c>
      <c r="C162" s="28" t="n">
        <f aca="false">SUMIFS(Transactions!$H$2:$H$603,Transactions!$F$2:$F$603,B162,Transactions!$D$2:$D$603,"Sale")</f>
        <v>120</v>
      </c>
      <c r="D162" s="19" t="n">
        <f aca="false">SUMIFS(Transactions!$I$2:$I$603,Transactions!$F$2:$F$603,B162,Transactions!$D$2:$D$603,"Sale")</f>
        <v>19200</v>
      </c>
      <c r="E162" s="29" t="n">
        <f aca="false">IF(SUM($D$69:$D$164)&gt;0,D162/SUM($D$69:$D$164),0)</f>
        <v>0.00134808800677998</v>
      </c>
      <c r="F162" s="28" t="n">
        <f aca="false">RANK(D162,$D$69:$D$164,0)+COUNTIF($D$69:D162,D162)-1</f>
        <v>75</v>
      </c>
    </row>
    <row r="163" customFormat="false" ht="15" hidden="false" customHeight="true" outlineLevel="0" collapsed="false">
      <c r="B163" s="28" t="s">
        <v>122</v>
      </c>
      <c r="C163" s="28" t="n">
        <f aca="false">SUMIFS(Transactions!$H$2:$H$603,Transactions!$F$2:$F$603,B163,Transactions!$D$2:$D$603,"Sale")</f>
        <v>1200</v>
      </c>
      <c r="D163" s="19" t="n">
        <f aca="false">SUMIFS(Transactions!$I$2:$I$603,Transactions!$F$2:$F$603,B163,Transactions!$D$2:$D$603,"Sale")</f>
        <v>237600</v>
      </c>
      <c r="E163" s="29" t="n">
        <f aca="false">IF(SUM($D$69:$D$164)&gt;0,D163/SUM($D$69:$D$164),0)</f>
        <v>0.0166825890839023</v>
      </c>
      <c r="F163" s="28" t="n">
        <f aca="false">RANK(D163,$D$69:$D$164,0)+COUNTIF($D$69:D163,D163)-1</f>
        <v>17</v>
      </c>
    </row>
    <row r="164" customFormat="false" ht="15" hidden="false" customHeight="true" outlineLevel="0" collapsed="false">
      <c r="B164" s="28" t="s">
        <v>120</v>
      </c>
      <c r="C164" s="28" t="n">
        <f aca="false">SUMIFS(Transactions!$H$2:$H$603,Transactions!$F$2:$F$603,B164,Transactions!$D$2:$D$603,"Sale")</f>
        <v>120</v>
      </c>
      <c r="D164" s="19" t="n">
        <f aca="false">SUMIFS(Transactions!$I$2:$I$603,Transactions!$F$2:$F$603,B164,Transactions!$D$2:$D$603,"Sale")</f>
        <v>26520</v>
      </c>
      <c r="E164" s="29" t="n">
        <f aca="false">IF(SUM($D$69:$D$164)&gt;0,D164/SUM($D$69:$D$164),0)</f>
        <v>0.00186204655936485</v>
      </c>
      <c r="F164" s="28" t="n">
        <f aca="false">RANK(D164,$D$69:$D$164,0)+COUNTIF($D$69:D164,D164)-1</f>
        <v>68</v>
      </c>
    </row>
    <row r="167" customFormat="false" ht="15.75" hidden="false" customHeight="true" outlineLevel="0" collapsed="false">
      <c r="B167" s="9" t="s">
        <v>244</v>
      </c>
    </row>
    <row r="169" customFormat="false" ht="30" hidden="false" customHeight="true" outlineLevel="0" collapsed="false">
      <c r="B169" s="25" t="s">
        <v>245</v>
      </c>
      <c r="C169" s="25" t="s">
        <v>246</v>
      </c>
      <c r="D169" s="25" t="s">
        <v>247</v>
      </c>
      <c r="E169" s="25" t="s">
        <v>248</v>
      </c>
      <c r="F169" s="25" t="s">
        <v>29</v>
      </c>
    </row>
    <row r="170" customFormat="false" ht="15" hidden="false" customHeight="true" outlineLevel="0" collapsed="false">
      <c r="B170" s="28" t="s">
        <v>132</v>
      </c>
      <c r="C170" s="28" t="n">
        <f aca="false">SUMIFS(Transactions!$H$2:$H$603,Transactions!$F$2:$F$603,B170,Transactions!$D$2:$D$603,"Purchase")</f>
        <v>39840</v>
      </c>
      <c r="D170" s="19" t="n">
        <f aca="false">SUMIFS(Transactions!$I$2:$I$603,Transactions!$F$2:$F$603,B170,Transactions!$D$2:$D$603,"Purchase")</f>
        <v>4008040</v>
      </c>
      <c r="E170" s="29" t="n">
        <f aca="false">IF(SUM($D$170:$D$179)&gt;0,D170/SUM($D$170:$D$179),0)</f>
        <v>0.346984906134074</v>
      </c>
      <c r="F170" s="28" t="n">
        <f aca="false">RANK(D170,$D$170:$D$179,0)</f>
        <v>1</v>
      </c>
    </row>
    <row r="171" customFormat="false" ht="15" hidden="false" customHeight="true" outlineLevel="0" collapsed="false">
      <c r="B171" s="28" t="s">
        <v>176</v>
      </c>
      <c r="C171" s="28" t="n">
        <f aca="false">SUMIFS(Transactions!$H$2:$H$603,Transactions!$F$2:$F$603,B171,Transactions!$D$2:$D$603,"Purchase")</f>
        <v>1540</v>
      </c>
      <c r="D171" s="19" t="n">
        <f aca="false">SUMIFS(Transactions!$I$2:$I$603,Transactions!$F$2:$F$603,B171,Transactions!$D$2:$D$603,"Purchase")</f>
        <v>373620</v>
      </c>
      <c r="E171" s="29" t="n">
        <f aca="false">IF(SUM($D$170:$D$179)&gt;0,D171/SUM($D$170:$D$179),0)</f>
        <v>0.0323451114833716</v>
      </c>
      <c r="F171" s="28" t="n">
        <f aca="false">RANK(D171,$D$170:$D$179,0)</f>
        <v>7</v>
      </c>
    </row>
    <row r="172" customFormat="false" ht="15" hidden="false" customHeight="true" outlineLevel="0" collapsed="false">
      <c r="B172" s="28" t="s">
        <v>177</v>
      </c>
      <c r="C172" s="28" t="n">
        <f aca="false">SUMIFS(Transactions!$H$2:$H$603,Transactions!$F$2:$F$603,B172,Transactions!$D$2:$D$603,"Purchase")</f>
        <v>20780</v>
      </c>
      <c r="D172" s="19" t="n">
        <f aca="false">SUMIFS(Transactions!$I$2:$I$603,Transactions!$F$2:$F$603,B172,Transactions!$D$2:$D$603,"Purchase")</f>
        <v>1991800</v>
      </c>
      <c r="E172" s="29" t="n">
        <f aca="false">IF(SUM($D$170:$D$179)&gt;0,D172/SUM($D$170:$D$179),0)</f>
        <v>0.172434540582891</v>
      </c>
      <c r="F172" s="28" t="n">
        <f aca="false">RANK(D172,$D$170:$D$179,0)</f>
        <v>2</v>
      </c>
    </row>
    <row r="173" customFormat="false" ht="15" hidden="false" customHeight="true" outlineLevel="0" collapsed="false">
      <c r="B173" s="28" t="s">
        <v>187</v>
      </c>
      <c r="C173" s="28" t="n">
        <f aca="false">SUMIFS(Transactions!$H$2:$H$603,Transactions!$F$2:$F$603,B173,Transactions!$D$2:$D$603,"Purchase")</f>
        <v>18810</v>
      </c>
      <c r="D173" s="19" t="n">
        <f aca="false">SUMIFS(Transactions!$I$2:$I$603,Transactions!$F$2:$F$603,B173,Transactions!$D$2:$D$603,"Purchase")</f>
        <v>1798620</v>
      </c>
      <c r="E173" s="29" t="n">
        <f aca="false">IF(SUM($D$170:$D$179)&gt;0,D173/SUM($D$170:$D$179),0)</f>
        <v>0.155710519822873</v>
      </c>
      <c r="F173" s="28" t="n">
        <f aca="false">RANK(D173,$D$170:$D$179,0)</f>
        <v>3</v>
      </c>
    </row>
    <row r="174" customFormat="false" ht="15" hidden="false" customHeight="true" outlineLevel="0" collapsed="false">
      <c r="B174" s="28" t="s">
        <v>196</v>
      </c>
      <c r="C174" s="28" t="n">
        <f aca="false">SUMIFS(Transactions!$H$2:$H$603,Transactions!$F$2:$F$603,B174,Transactions!$D$2:$D$603,"Purchase")</f>
        <v>2200</v>
      </c>
      <c r="D174" s="19" t="n">
        <f aca="false">SUMIFS(Transactions!$I$2:$I$603,Transactions!$F$2:$F$603,B174,Transactions!$D$2:$D$603,"Purchase")</f>
        <v>352000</v>
      </c>
      <c r="E174" s="29" t="n">
        <f aca="false">IF(SUM($D$170:$D$179)&gt;0,D174/SUM($D$170:$D$179),0)</f>
        <v>0.0304734201652664</v>
      </c>
      <c r="F174" s="28" t="n">
        <f aca="false">RANK(D174,$D$170:$D$179,0)</f>
        <v>8</v>
      </c>
    </row>
    <row r="175" customFormat="false" ht="15" hidden="false" customHeight="true" outlineLevel="0" collapsed="false">
      <c r="B175" s="28" t="s">
        <v>112</v>
      </c>
      <c r="C175" s="28" t="n">
        <f aca="false">SUMIFS(Transactions!$H$2:$H$603,Transactions!$F$2:$F$603,B175,Transactions!$D$2:$D$603,"Purchase")</f>
        <v>3480</v>
      </c>
      <c r="D175" s="19" t="n">
        <f aca="false">SUMIFS(Transactions!$I$2:$I$603,Transactions!$F$2:$F$603,B175,Transactions!$D$2:$D$603,"Purchase")</f>
        <v>452400</v>
      </c>
      <c r="E175" s="29" t="n">
        <f aca="false">IF(SUM($D$170:$D$179)&gt;0,D175/SUM($D$170:$D$179),0)</f>
        <v>0.0391652706896776</v>
      </c>
      <c r="F175" s="28" t="n">
        <f aca="false">RANK(D175,$D$170:$D$179,0)</f>
        <v>6</v>
      </c>
    </row>
    <row r="176" customFormat="false" ht="15" hidden="false" customHeight="true" outlineLevel="0" collapsed="false">
      <c r="B176" s="28" t="s">
        <v>154</v>
      </c>
      <c r="C176" s="28" t="n">
        <f aca="false">SUMIFS(Transactions!$H$2:$H$603,Transactions!$F$2:$F$603,B176,Transactions!$D$2:$D$603,"Purchase")</f>
        <v>5100</v>
      </c>
      <c r="D176" s="19" t="n">
        <f aca="false">SUMIFS(Transactions!$I$2:$I$603,Transactions!$F$2:$F$603,B176,Transactions!$D$2:$D$603,"Purchase")</f>
        <v>956000</v>
      </c>
      <c r="E176" s="29" t="n">
        <f aca="false">IF(SUM($D$170:$D$179)&gt;0,D176/SUM($D$170:$D$179),0)</f>
        <v>0.0827630388579393</v>
      </c>
      <c r="F176" s="28" t="n">
        <f aca="false">RANK(D176,$D$170:$D$179,0)</f>
        <v>5</v>
      </c>
    </row>
    <row r="177" customFormat="false" ht="15" hidden="false" customHeight="true" outlineLevel="0" collapsed="false">
      <c r="B177" s="28" t="s">
        <v>209</v>
      </c>
      <c r="C177" s="28" t="n">
        <f aca="false">SUMIFS(Transactions!$H$2:$H$603,Transactions!$F$2:$F$603,B177,Transactions!$D$2:$D$603,"Purchase")</f>
        <v>9100</v>
      </c>
      <c r="D177" s="19" t="n">
        <f aca="false">SUMIFS(Transactions!$I$2:$I$603,Transactions!$F$2:$F$603,B177,Transactions!$D$2:$D$603,"Purchase")</f>
        <v>1403500</v>
      </c>
      <c r="E177" s="29" t="n">
        <f aca="false">IF(SUM($D$170:$D$179)&gt;0,D177/SUM($D$170:$D$179),0)</f>
        <v>0.121504105687362</v>
      </c>
      <c r="F177" s="28" t="n">
        <f aca="false">RANK(D177,$D$170:$D$179,0)</f>
        <v>4</v>
      </c>
    </row>
    <row r="178" customFormat="false" ht="15" hidden="false" customHeight="true" outlineLevel="0" collapsed="false">
      <c r="B178" s="28" t="s">
        <v>149</v>
      </c>
      <c r="C178" s="28" t="n">
        <f aca="false">SUMIFS(Transactions!$H$2:$H$603,Transactions!$F$2:$F$603,B178,Transactions!$D$2:$D$603,"Purchase")</f>
        <v>2040</v>
      </c>
      <c r="D178" s="19" t="n">
        <f aca="false">SUMIFS(Transactions!$I$2:$I$603,Transactions!$F$2:$F$603,B178,Transactions!$D$2:$D$603,"Purchase")</f>
        <v>91800</v>
      </c>
      <c r="E178" s="29" t="n">
        <f aca="false">IF(SUM($D$170:$D$179)&gt;0,D178/SUM($D$170:$D$179),0)</f>
        <v>0.00794732946355526</v>
      </c>
      <c r="F178" s="28" t="n">
        <f aca="false">RANK(D178,$D$170:$D$179,0)</f>
        <v>10</v>
      </c>
    </row>
    <row r="179" customFormat="false" ht="15" hidden="false" customHeight="true" outlineLevel="0" collapsed="false">
      <c r="B179" s="28" t="s">
        <v>174</v>
      </c>
      <c r="C179" s="28" t="n">
        <f aca="false">SUMIFS(Transactions!$H$2:$H$603,Transactions!$F$2:$F$603,B179,Transactions!$D$2:$D$603,"Purchase")</f>
        <v>1230</v>
      </c>
      <c r="D179" s="19" t="n">
        <f aca="false">SUMIFS(Transactions!$I$2:$I$603,Transactions!$F$2:$F$603,B179,Transactions!$D$2:$D$603,"Purchase")</f>
        <v>123270</v>
      </c>
      <c r="E179" s="29" t="n">
        <f aca="false">IF(SUM($D$170:$D$179)&gt;0,D179/SUM($D$170:$D$179),0)</f>
        <v>0.0106717571129897</v>
      </c>
      <c r="F179" s="28" t="n">
        <f aca="false">RANK(D179,$D$170:$D$179,0)</f>
        <v>9</v>
      </c>
    </row>
    <row r="182" customFormat="false" ht="15.75" hidden="false" customHeight="true" outlineLevel="0" collapsed="false">
      <c r="B182" s="9" t="s">
        <v>249</v>
      </c>
    </row>
    <row r="184" customFormat="false" ht="30" hidden="false" customHeight="true" outlineLevel="0" collapsed="false">
      <c r="B184" s="25" t="s">
        <v>27</v>
      </c>
      <c r="C184" s="25" t="s">
        <v>101</v>
      </c>
      <c r="D184" s="25" t="s">
        <v>199</v>
      </c>
    </row>
    <row r="185" customFormat="false" ht="15" hidden="false" customHeight="true" outlineLevel="0" collapsed="false">
      <c r="B185" s="26" t="str">
        <f aca="false">Stock_Summary!A2</f>
        <v>KG</v>
      </c>
      <c r="C185" s="28" t="n">
        <f aca="false">SUMIFS(Transactions!$H$2:$H$603,Transactions!$G$2:$G$603,$B185,Transactions!$D$2:$D$603,"Sale",Transactions!$C$2:$C$603,"Q1 26-27")</f>
        <v>3580</v>
      </c>
      <c r="D185" s="28" t="n">
        <f aca="false">SUMIFS(Transactions!$H$2:$H$603,Transactions!$G$2:$G$603,$B185,Transactions!$D$2:$D$603,"Sale",Transactions!$C$2:$C$603,"Q2 26-27")</f>
        <v>550</v>
      </c>
    </row>
    <row r="186" customFormat="false" ht="15" hidden="false" customHeight="true" outlineLevel="0" collapsed="false">
      <c r="B186" s="26" t="str">
        <f aca="false">Stock_Summary!A3</f>
        <v>AA</v>
      </c>
      <c r="C186" s="28" t="n">
        <f aca="false">SUMIFS(Transactions!$H$2:$H$603,Transactions!$G$2:$G$603,$B186,Transactions!$D$2:$D$603,"Sale",Transactions!$C$2:$C$603,"Q1 26-27")</f>
        <v>2180</v>
      </c>
      <c r="D186" s="28" t="n">
        <f aca="false">SUMIFS(Transactions!$H$2:$H$603,Transactions!$G$2:$G$603,$B186,Transactions!$D$2:$D$603,"Sale",Transactions!$C$2:$C$603,"Q2 26-27")</f>
        <v>240</v>
      </c>
    </row>
    <row r="187" customFormat="false" ht="15" hidden="false" customHeight="true" outlineLevel="0" collapsed="false">
      <c r="B187" s="26" t="str">
        <f aca="false">Stock_Summary!A4</f>
        <v>WAK</v>
      </c>
      <c r="C187" s="28" t="n">
        <f aca="false">SUMIFS(Transactions!$H$2:$H$603,Transactions!$G$2:$G$603,$B187,Transactions!$D$2:$D$603,"Sale",Transactions!$C$2:$C$603,"Q1 26-27")</f>
        <v>8612</v>
      </c>
      <c r="D187" s="28" t="n">
        <f aca="false">SUMIFS(Transactions!$H$2:$H$603,Transactions!$G$2:$G$603,$B187,Transactions!$D$2:$D$603,"Sale",Transactions!$C$2:$C$603,"Q2 26-27")</f>
        <v>840</v>
      </c>
    </row>
    <row r="188" customFormat="false" ht="15" hidden="false" customHeight="true" outlineLevel="0" collapsed="false">
      <c r="B188" s="26" t="str">
        <f aca="false">Stock_Summary!A5</f>
        <v>SNA</v>
      </c>
      <c r="C188" s="28" t="n">
        <f aca="false">SUMIFS(Transactions!$H$2:$H$603,Transactions!$G$2:$G$603,$B188,Transactions!$D$2:$D$603,"Sale",Transactions!$C$2:$C$603,"Q1 26-27")</f>
        <v>17096</v>
      </c>
      <c r="D188" s="28" t="n">
        <f aca="false">SUMIFS(Transactions!$H$2:$H$603,Transactions!$G$2:$G$603,$B188,Transactions!$D$2:$D$603,"Sale",Transactions!$C$2:$C$603,"Q2 26-27")</f>
        <v>2640</v>
      </c>
    </row>
    <row r="189" customFormat="false" ht="15" hidden="false" customHeight="true" outlineLevel="0" collapsed="false">
      <c r="B189" s="26" t="str">
        <f aca="false">Stock_Summary!A6</f>
        <v>SBL</v>
      </c>
      <c r="C189" s="28" t="n">
        <f aca="false">SUMIFS(Transactions!$H$2:$H$603,Transactions!$G$2:$G$603,$B189,Transactions!$D$2:$D$603,"Sale",Transactions!$C$2:$C$603,"Q1 26-27")</f>
        <v>19584</v>
      </c>
      <c r="D189" s="28" t="n">
        <f aca="false">SUMIFS(Transactions!$H$2:$H$603,Transactions!$G$2:$G$603,$B189,Transactions!$D$2:$D$603,"Sale",Transactions!$C$2:$C$603,"Q2 26-27")</f>
        <v>4800</v>
      </c>
    </row>
    <row r="190" customFormat="false" ht="15" hidden="false" customHeight="true" outlineLevel="0" collapsed="false">
      <c r="B190" s="26" t="str">
        <f aca="false">Stock_Summary!A7</f>
        <v>XAC</v>
      </c>
      <c r="C190" s="28" t="n">
        <f aca="false">SUMIFS(Transactions!$H$2:$H$603,Transactions!$G$2:$G$603,$B190,Transactions!$D$2:$D$603,"Sale",Transactions!$C$2:$C$603,"Q1 26-27")</f>
        <v>2128</v>
      </c>
      <c r="D190" s="28" t="n">
        <f aca="false">SUMIFS(Transactions!$H$2:$H$603,Transactions!$G$2:$G$603,$B190,Transactions!$D$2:$D$603,"Sale",Transactions!$C$2:$C$603,"Q2 26-27")</f>
        <v>600</v>
      </c>
    </row>
    <row r="191" customFormat="false" ht="15" hidden="false" customHeight="true" outlineLevel="0" collapsed="false">
      <c r="B191" s="26" t="str">
        <f aca="false">Stock_Summary!A8</f>
        <v>WFAT</v>
      </c>
      <c r="C191" s="28" t="n">
        <f aca="false">SUMIFS(Transactions!$H$2:$H$603,Transactions!$G$2:$G$603,$B191,Transactions!$D$2:$D$603,"Sale",Transactions!$C$2:$C$603,"Q1 26-27")</f>
        <v>3308</v>
      </c>
      <c r="D191" s="28" t="n">
        <f aca="false">SUMIFS(Transactions!$H$2:$H$603,Transactions!$G$2:$G$603,$B191,Transactions!$D$2:$D$603,"Sale",Transactions!$C$2:$C$603,"Q2 26-27")</f>
        <v>0</v>
      </c>
    </row>
    <row r="192" customFormat="false" ht="15" hidden="false" customHeight="true" outlineLevel="0" collapsed="false">
      <c r="B192" s="26" t="str">
        <f aca="false">Stock_Summary!A9</f>
        <v>SUL</v>
      </c>
      <c r="C192" s="28" t="n">
        <f aca="false">SUMIFS(Transactions!$H$2:$H$603,Transactions!$G$2:$G$603,$B192,Transactions!$D$2:$D$603,"Sale",Transactions!$C$2:$C$603,"Q1 26-27")</f>
        <v>2460</v>
      </c>
      <c r="D192" s="28" t="n">
        <f aca="false">SUMIFS(Transactions!$H$2:$H$603,Transactions!$G$2:$G$603,$B192,Transactions!$D$2:$D$603,"Sale",Transactions!$C$2:$C$603,"Q2 26-27")</f>
        <v>750</v>
      </c>
    </row>
    <row r="193" customFormat="false" ht="15" hidden="false" customHeight="true" outlineLevel="0" collapsed="false">
      <c r="B193" s="26" t="str">
        <f aca="false">Stock_Summary!A10</f>
        <v>KR</v>
      </c>
      <c r="C193" s="28" t="n">
        <f aca="false">SUMIFS(Transactions!$H$2:$H$603,Transactions!$G$2:$G$603,$B193,Transactions!$D$2:$D$603,"Sale",Transactions!$C$2:$C$603,"Q1 26-27")</f>
        <v>480</v>
      </c>
      <c r="D193" s="28" t="n">
        <f aca="false">SUMIFS(Transactions!$H$2:$H$603,Transactions!$G$2:$G$603,$B193,Transactions!$D$2:$D$603,"Sale",Transactions!$C$2:$C$603,"Q2 26-27")</f>
        <v>0</v>
      </c>
    </row>
    <row r="194" customFormat="false" ht="15" hidden="false" customHeight="true" outlineLevel="0" collapsed="false">
      <c r="B194" s="26" t="str">
        <f aca="false">Stock_Summary!A11</f>
        <v>G1</v>
      </c>
      <c r="C194" s="28" t="n">
        <f aca="false">SUMIFS(Transactions!$H$2:$H$603,Transactions!$G$2:$G$603,$B194,Transactions!$D$2:$D$603,"Sale",Transactions!$C$2:$C$603,"Q1 26-27")</f>
        <v>0</v>
      </c>
      <c r="D194" s="28" t="n">
        <f aca="false">SUMIFS(Transactions!$H$2:$H$603,Transactions!$G$2:$G$603,$B194,Transactions!$D$2:$D$603,"Sale",Transactions!$C$2:$C$603,"Q2 26-27")</f>
        <v>0</v>
      </c>
    </row>
    <row r="195" customFormat="false" ht="15" hidden="false" customHeight="true" outlineLevel="0" collapsed="false">
      <c r="B195" s="26" t="str">
        <f aca="false">Stock_Summary!A12</f>
        <v>G2</v>
      </c>
      <c r="C195" s="28" t="n">
        <f aca="false">SUMIFS(Transactions!$H$2:$H$603,Transactions!$G$2:$G$603,$B195,Transactions!$D$2:$D$603,"Sale",Transactions!$C$2:$C$603,"Q1 26-27")</f>
        <v>100</v>
      </c>
      <c r="D195" s="28" t="n">
        <f aca="false">SUMIFS(Transactions!$H$2:$H$603,Transactions!$G$2:$G$603,$B195,Transactions!$D$2:$D$603,"Sale",Transactions!$C$2:$C$603,"Q2 26-27")</f>
        <v>0</v>
      </c>
    </row>
    <row r="196" customFormat="false" ht="15" hidden="false" customHeight="true" outlineLevel="0" collapsed="false">
      <c r="B196" s="26" t="str">
        <f aca="false">Stock_Summary!A13</f>
        <v>Silcoat</v>
      </c>
      <c r="C196" s="28" t="n">
        <f aca="false">SUMIFS(Transactions!$H$2:$H$603,Transactions!$G$2:$G$603,$B196,Transactions!$D$2:$D$603,"Sale",Transactions!$C$2:$C$603,"Q1 26-27")</f>
        <v>1823</v>
      </c>
      <c r="D196" s="28" t="n">
        <f aca="false">SUMIFS(Transactions!$H$2:$H$603,Transactions!$G$2:$G$603,$B196,Transactions!$D$2:$D$603,"Sale",Transactions!$C$2:$C$603,"Q2 26-27")</f>
        <v>360</v>
      </c>
    </row>
    <row r="197" customFormat="false" ht="15" hidden="false" customHeight="true" outlineLevel="0" collapsed="false">
      <c r="B197" s="26" t="str">
        <f aca="false">Stock_Summary!A14</f>
        <v>TiO2</v>
      </c>
      <c r="C197" s="28" t="n">
        <f aca="false">SUMIFS(Transactions!$H$2:$H$603,Transactions!$G$2:$G$603,$B197,Transactions!$D$2:$D$603,"Sale",Transactions!$C$2:$C$603,"Q1 26-27")</f>
        <v>2775</v>
      </c>
      <c r="D197" s="28" t="n">
        <f aca="false">SUMIFS(Transactions!$H$2:$H$603,Transactions!$G$2:$G$603,$B197,Transactions!$D$2:$D$603,"Sale",Transactions!$C$2:$C$603,"Q2 26-27")</f>
        <v>550</v>
      </c>
    </row>
    <row r="198" customFormat="false" ht="15" hidden="false" customHeight="true" outlineLevel="0" collapsed="false">
      <c r="B198" s="26" t="str">
        <f aca="false">Stock_Summary!A15</f>
        <v>TiO2 R</v>
      </c>
      <c r="C198" s="28" t="n">
        <f aca="false">SUMIFS(Transactions!$H$2:$H$603,Transactions!$G$2:$G$603,$B198,Transactions!$D$2:$D$603,"Sale",Transactions!$C$2:$C$603,"Q1 26-27")</f>
        <v>515.5</v>
      </c>
      <c r="D198" s="28" t="n">
        <f aca="false">SUMIFS(Transactions!$H$2:$H$603,Transactions!$G$2:$G$603,$B198,Transactions!$D$2:$D$603,"Sale",Transactions!$C$2:$C$603,"Q2 26-27")</f>
        <v>110</v>
      </c>
    </row>
    <row r="199" customFormat="false" ht="15" hidden="false" customHeight="true" outlineLevel="0" collapsed="false">
      <c r="B199" s="26" t="str">
        <f aca="false">Stock_Summary!A16</f>
        <v>ZnO</v>
      </c>
      <c r="C199" s="28" t="n">
        <f aca="false">SUMIFS(Transactions!$H$2:$H$603,Transactions!$G$2:$G$603,$B199,Transactions!$D$2:$D$603,"Sale",Transactions!$C$2:$C$603,"Q1 26-27")</f>
        <v>0</v>
      </c>
      <c r="D199" s="28" t="n">
        <f aca="false">SUMIFS(Transactions!$H$2:$H$603,Transactions!$G$2:$G$603,$B199,Transactions!$D$2:$D$603,"Sale",Transactions!$C$2:$C$603,"Q2 26-27")</f>
        <v>0</v>
      </c>
    </row>
    <row r="200" customFormat="false" ht="15" hidden="false" customHeight="true" outlineLevel="0" collapsed="false">
      <c r="B200" s="26" t="str">
        <f aca="false">Stock_Summary!A17</f>
        <v>CRTI</v>
      </c>
      <c r="C200" s="28" t="n">
        <f aca="false">SUMIFS(Transactions!$H$2:$H$603,Transactions!$G$2:$G$603,$B200,Transactions!$D$2:$D$603,"Sale",Transactions!$C$2:$C$603,"Q1 26-27")</f>
        <v>3250</v>
      </c>
      <c r="D200" s="28" t="n">
        <f aca="false">SUMIFS(Transactions!$H$2:$H$603,Transactions!$G$2:$G$603,$B200,Transactions!$D$2:$D$603,"Sale",Transactions!$C$2:$C$603,"Q2 26-27")</f>
        <v>250</v>
      </c>
    </row>
    <row r="201" customFormat="false" ht="15" hidden="false" customHeight="true" outlineLevel="0" collapsed="false">
      <c r="B201" s="26" t="str">
        <f aca="false">Stock_Summary!A18</f>
        <v>ACT.A</v>
      </c>
      <c r="C201" s="28" t="n">
        <f aca="false">SUMIFS(Transactions!$H$2:$H$603,Transactions!$G$2:$G$603,$B201,Transactions!$D$2:$D$603,"Sale",Transactions!$C$2:$C$603,"Q1 26-27")</f>
        <v>200</v>
      </c>
      <c r="D201" s="28" t="n">
        <f aca="false">SUMIFS(Transactions!$H$2:$H$603,Transactions!$G$2:$G$603,$B201,Transactions!$D$2:$D$603,"Sale",Transactions!$C$2:$C$603,"Q2 26-27")</f>
        <v>0</v>
      </c>
    </row>
    <row r="202" customFormat="false" ht="15" hidden="false" customHeight="true" outlineLevel="0" collapsed="false">
      <c r="B202" s="26" t="str">
        <f aca="false">Stock_Summary!A19</f>
        <v>Act. Conc</v>
      </c>
      <c r="C202" s="28" t="n">
        <f aca="false">SUMIFS(Transactions!$H$2:$H$603,Transactions!$G$2:$G$603,$B202,Transactions!$D$2:$D$603,"Sale",Transactions!$C$2:$C$603,"Q1 26-27")</f>
        <v>800</v>
      </c>
      <c r="D202" s="28" t="n">
        <f aca="false">SUMIFS(Transactions!$H$2:$H$603,Transactions!$G$2:$G$603,$B202,Transactions!$D$2:$D$603,"Sale",Transactions!$C$2:$C$603,"Q2 26-27")</f>
        <v>125</v>
      </c>
    </row>
    <row r="203" customFormat="false" ht="15" hidden="false" customHeight="true" outlineLevel="0" collapsed="false">
      <c r="B203" s="26" t="str">
        <f aca="false">Stock_Summary!A20</f>
        <v>DB</v>
      </c>
      <c r="C203" s="28" t="n">
        <f aca="false">SUMIFS(Transactions!$H$2:$H$603,Transactions!$G$2:$G$603,$B203,Transactions!$D$2:$D$603,"Sale",Transactions!$C$2:$C$603,"Q1 26-27")</f>
        <v>1685</v>
      </c>
      <c r="D203" s="28" t="n">
        <f aca="false">SUMIFS(Transactions!$H$2:$H$603,Transactions!$G$2:$G$603,$B203,Transactions!$D$2:$D$603,"Sale",Transactions!$C$2:$C$603,"Q2 26-27")</f>
        <v>1120</v>
      </c>
    </row>
    <row r="204" customFormat="false" ht="15" hidden="false" customHeight="true" outlineLevel="0" collapsed="false">
      <c r="B204" s="26" t="str">
        <f aca="false">Stock_Summary!A21</f>
        <v>RM</v>
      </c>
      <c r="C204" s="28" t="n">
        <f aca="false">SUMIFS(Transactions!$H$2:$H$603,Transactions!$G$2:$G$603,$B204,Transactions!$D$2:$D$603,"Sale",Transactions!$C$2:$C$603,"Q1 26-27")</f>
        <v>575</v>
      </c>
      <c r="D204" s="28" t="n">
        <f aca="false">SUMIFS(Transactions!$H$2:$H$603,Transactions!$G$2:$G$603,$B204,Transactions!$D$2:$D$603,"Sale",Transactions!$C$2:$C$603,"Q2 26-27")</f>
        <v>0</v>
      </c>
    </row>
    <row r="205" customFormat="false" ht="15" hidden="false" customHeight="true" outlineLevel="0" collapsed="false">
      <c r="B205" s="26" t="str">
        <f aca="false">Stock_Summary!A22</f>
        <v>AW</v>
      </c>
      <c r="C205" s="28" t="n">
        <f aca="false">SUMIFS(Transactions!$H$2:$H$603,Transactions!$G$2:$G$603,$B205,Transactions!$D$2:$D$603,"Sale",Transactions!$C$2:$C$603,"Q1 26-27")</f>
        <v>1625</v>
      </c>
      <c r="D205" s="28" t="n">
        <f aca="false">SUMIFS(Transactions!$H$2:$H$603,Transactions!$G$2:$G$603,$B205,Transactions!$D$2:$D$603,"Sale",Transactions!$C$2:$C$603,"Q2 26-27")</f>
        <v>1250</v>
      </c>
    </row>
    <row r="206" customFormat="false" ht="15" hidden="false" customHeight="true" outlineLevel="0" collapsed="false">
      <c r="B206" s="26" t="str">
        <f aca="false">Stock_Summary!A23</f>
        <v>NSA</v>
      </c>
      <c r="C206" s="28" t="n">
        <f aca="false">SUMIFS(Transactions!$H$2:$H$603,Transactions!$G$2:$G$603,$B206,Transactions!$D$2:$D$603,"Sale",Transactions!$C$2:$C$603,"Q1 26-27")</f>
        <v>1612.5</v>
      </c>
      <c r="D206" s="28" t="n">
        <f aca="false">SUMIFS(Transactions!$H$2:$H$603,Transactions!$G$2:$G$603,$B206,Transactions!$D$2:$D$603,"Sale",Transactions!$C$2:$C$603,"Q2 26-27")</f>
        <v>125</v>
      </c>
    </row>
    <row r="207" customFormat="false" ht="15" hidden="false" customHeight="true" outlineLevel="0" collapsed="false">
      <c r="B207" s="26" t="str">
        <f aca="false">Stock_Summary!A24</f>
        <v>RU</v>
      </c>
      <c r="C207" s="28" t="n">
        <f aca="false">SUMIFS(Transactions!$H$2:$H$603,Transactions!$G$2:$G$603,$B207,Transactions!$D$2:$D$603,"Sale",Transactions!$C$2:$C$603,"Q1 26-27")</f>
        <v>1680</v>
      </c>
      <c r="D207" s="28" t="n">
        <f aca="false">SUMIFS(Transactions!$H$2:$H$603,Transactions!$G$2:$G$603,$B207,Transactions!$D$2:$D$603,"Sale",Transactions!$C$2:$C$603,"Q2 26-27")</f>
        <v>480</v>
      </c>
    </row>
    <row r="208" customFormat="false" ht="15" hidden="false" customHeight="true" outlineLevel="0" collapsed="false">
      <c r="B208" s="26" t="str">
        <f aca="false">Stock_Summary!A25</f>
        <v>OIT 9</v>
      </c>
      <c r="C208" s="28" t="n">
        <f aca="false">SUMIFS(Transactions!$H$2:$H$603,Transactions!$G$2:$G$603,$B208,Transactions!$D$2:$D$603,"Sale",Transactions!$C$2:$C$603,"Q1 26-27")</f>
        <v>372.4</v>
      </c>
      <c r="D208" s="28" t="n">
        <f aca="false">SUMIFS(Transactions!$H$2:$H$603,Transactions!$G$2:$G$603,$B208,Transactions!$D$2:$D$603,"Sale",Transactions!$C$2:$C$603,"Q2 26-27")</f>
        <v>180</v>
      </c>
    </row>
    <row r="209" customFormat="false" ht="15" hidden="false" customHeight="true" outlineLevel="0" collapsed="false">
      <c r="B209" s="26" t="str">
        <f aca="false">Stock_Summary!A26</f>
        <v>BPR</v>
      </c>
      <c r="C209" s="28" t="n">
        <f aca="false">SUMIFS(Transactions!$H$2:$H$603,Transactions!$G$2:$G$603,$B209,Transactions!$D$2:$D$603,"Sale",Transactions!$C$2:$C$603,"Q1 26-27")</f>
        <v>0</v>
      </c>
      <c r="D209" s="28" t="n">
        <f aca="false">SUMIFS(Transactions!$H$2:$H$603,Transactions!$G$2:$G$603,$B209,Transactions!$D$2:$D$603,"Sale",Transactions!$C$2:$C$603,"Q2 26-27")</f>
        <v>0</v>
      </c>
    </row>
    <row r="210" customFormat="false" ht="15" hidden="false" customHeight="true" outlineLevel="0" collapsed="false">
      <c r="B210" s="26" t="str">
        <f aca="false">Stock_Summary!A27</f>
        <v>AC</v>
      </c>
      <c r="C210" s="28" t="n">
        <f aca="false">SUMIFS(Transactions!$H$2:$H$603,Transactions!$G$2:$G$603,$B210,Transactions!$D$2:$D$603,"Sale",Transactions!$C$2:$C$603,"Q1 26-27")</f>
        <v>0</v>
      </c>
      <c r="D210" s="28" t="n">
        <f aca="false">SUMIFS(Transactions!$H$2:$H$603,Transactions!$G$2:$G$603,$B210,Transactions!$D$2:$D$603,"Sale",Transactions!$C$2:$C$603,"Q2 26-27")</f>
        <v>0</v>
      </c>
    </row>
    <row r="211" customFormat="false" ht="15" hidden="false" customHeight="true" outlineLevel="0" collapsed="false">
      <c r="B211" s="26" t="str">
        <f aca="false">Stock_Summary!A28</f>
        <v>EF</v>
      </c>
      <c r="C211" s="28" t="n">
        <f aca="false">SUMIFS(Transactions!$H$2:$H$603,Transactions!$G$2:$G$603,$B211,Transactions!$D$2:$D$603,"Sale",Transactions!$C$2:$C$603,"Q1 26-27")</f>
        <v>0</v>
      </c>
      <c r="D211" s="28" t="n">
        <f aca="false">SUMIFS(Transactions!$H$2:$H$603,Transactions!$G$2:$G$603,$B211,Transactions!$D$2:$D$603,"Sale",Transactions!$C$2:$C$603,"Q2 26-27")</f>
        <v>0</v>
      </c>
    </row>
    <row r="212" customFormat="false" ht="15" hidden="false" customHeight="true" outlineLevel="0" collapsed="false">
      <c r="B212" s="26" t="str">
        <f aca="false">Stock_Summary!A29</f>
        <v>PBS</v>
      </c>
      <c r="C212" s="28" t="n">
        <f aca="false">SUMIFS(Transactions!$H$2:$H$603,Transactions!$G$2:$G$603,$B212,Transactions!$D$2:$D$603,"Sale",Transactions!$C$2:$C$603,"Q1 26-27")</f>
        <v>0</v>
      </c>
      <c r="D212" s="28" t="n">
        <f aca="false">SUMIFS(Transactions!$H$2:$H$603,Transactions!$G$2:$G$603,$B212,Transactions!$D$2:$D$603,"Sale",Transactions!$C$2:$C$603,"Q2 26-27")</f>
        <v>0</v>
      </c>
    </row>
    <row r="213" customFormat="false" ht="15" hidden="false" customHeight="true" outlineLevel="0" collapsed="false">
      <c r="B213" s="26" t="str">
        <f aca="false">Stock_Summary!A30</f>
        <v>G50</v>
      </c>
      <c r="C213" s="28" t="n">
        <f aca="false">SUMIFS(Transactions!$H$2:$H$603,Transactions!$G$2:$G$603,$B213,Transactions!$D$2:$D$603,"Sale",Transactions!$C$2:$C$603,"Q1 26-27")</f>
        <v>0</v>
      </c>
      <c r="D213" s="28" t="n">
        <f aca="false">SUMIFS(Transactions!$H$2:$H$603,Transactions!$G$2:$G$603,$B213,Transactions!$D$2:$D$603,"Sale",Transactions!$C$2:$C$603,"Q2 26-27")</f>
        <v>0</v>
      </c>
    </row>
    <row r="214" customFormat="false" ht="15" hidden="false" customHeight="true" outlineLevel="0" collapsed="false">
      <c r="B214" s="26" t="str">
        <f aca="false">Stock_Summary!A31</f>
        <v>ECO 6</v>
      </c>
      <c r="C214" s="28" t="n">
        <f aca="false">SUMIFS(Transactions!$H$2:$H$603,Transactions!$G$2:$G$603,$B214,Transactions!$D$2:$D$603,"Sale",Transactions!$C$2:$C$603,"Q1 26-27")</f>
        <v>400</v>
      </c>
      <c r="D214" s="28" t="n">
        <f aca="false">SUMIFS(Transactions!$H$2:$H$603,Transactions!$G$2:$G$603,$B214,Transactions!$D$2:$D$603,"Sale",Transactions!$C$2:$C$603,"Q2 26-27")</f>
        <v>100</v>
      </c>
    </row>
    <row r="215" customFormat="false" ht="15" hidden="false" customHeight="true" outlineLevel="0" collapsed="false">
      <c r="B215" s="26" t="str">
        <f aca="false">Stock_Summary!A32</f>
        <v>FP</v>
      </c>
      <c r="C215" s="28" t="n">
        <f aca="false">SUMIFS(Transactions!$H$2:$H$603,Transactions!$G$2:$G$603,$B215,Transactions!$D$2:$D$603,"Sale",Transactions!$C$2:$C$603,"Q1 26-27")</f>
        <v>200</v>
      </c>
      <c r="D215" s="28" t="n">
        <f aca="false">SUMIFS(Transactions!$H$2:$H$603,Transactions!$G$2:$G$603,$B215,Transactions!$D$2:$D$603,"Sale",Transactions!$C$2:$C$603,"Q2 26-27")</f>
        <v>0</v>
      </c>
    </row>
    <row r="216" customFormat="false" ht="15" hidden="false" customHeight="true" outlineLevel="0" collapsed="false">
      <c r="B216" s="26" t="str">
        <f aca="false">Stock_Summary!A33</f>
        <v>SUM</v>
      </c>
      <c r="C216" s="28" t="n">
        <f aca="false">SUMIFS(Transactions!$H$2:$H$603,Transactions!$G$2:$G$603,$B216,Transactions!$D$2:$D$603,"Sale",Transactions!$C$2:$C$603,"Q1 26-27")</f>
        <v>0</v>
      </c>
      <c r="D216" s="28" t="n">
        <f aca="false">SUMIFS(Transactions!$H$2:$H$603,Transactions!$G$2:$G$603,$B216,Transactions!$D$2:$D$603,"Sale",Transactions!$C$2:$C$603,"Q2 26-27")</f>
        <v>0</v>
      </c>
    </row>
    <row r="217" customFormat="false" ht="15" hidden="false" customHeight="true" outlineLevel="0" collapsed="false">
      <c r="B217" s="26" t="str">
        <f aca="false">Stock_Summary!A34</f>
        <v>DLPS</v>
      </c>
      <c r="C217" s="28" t="n">
        <f aca="false">SUMIFS(Transactions!$H$2:$H$603,Transactions!$G$2:$G$603,$B217,Transactions!$D$2:$D$603,"Sale",Transactions!$C$2:$C$603,"Q1 26-27")</f>
        <v>360</v>
      </c>
      <c r="D217" s="28" t="n">
        <f aca="false">SUMIFS(Transactions!$H$2:$H$603,Transactions!$G$2:$G$603,$B217,Transactions!$D$2:$D$603,"Sale",Transactions!$C$2:$C$603,"Q2 26-27")</f>
        <v>0</v>
      </c>
    </row>
    <row r="218" customFormat="false" ht="15" hidden="false" customHeight="true" outlineLevel="0" collapsed="false">
      <c r="B218" s="26" t="str">
        <f aca="false">Stock_Summary!A35</f>
        <v>ITS</v>
      </c>
      <c r="C218" s="28" t="n">
        <f aca="false">SUMIFS(Transactions!$H$2:$H$603,Transactions!$G$2:$G$603,$B218,Transactions!$D$2:$D$603,"Sale",Transactions!$C$2:$C$603,"Q1 26-27")</f>
        <v>0</v>
      </c>
      <c r="D218" s="28" t="n">
        <f aca="false">SUMIFS(Transactions!$H$2:$H$603,Transactions!$G$2:$G$603,$B218,Transactions!$D$2:$D$603,"Sale",Transactions!$C$2:$C$603,"Q2 26-27")</f>
        <v>0</v>
      </c>
    </row>
    <row r="219" customFormat="false" ht="15" hidden="false" customHeight="true" outlineLevel="0" collapsed="false">
      <c r="B219" s="26" t="str">
        <f aca="false">Stock_Summary!A36</f>
        <v>ACT E</v>
      </c>
      <c r="C219" s="28" t="n">
        <f aca="false">SUMIFS(Transactions!$H$2:$H$603,Transactions!$G$2:$G$603,$B219,Transactions!$D$2:$D$603,"Sale",Transactions!$C$2:$C$603,"Q1 26-27")</f>
        <v>25</v>
      </c>
      <c r="D219" s="28" t="n">
        <f aca="false">SUMIFS(Transactions!$H$2:$H$603,Transactions!$G$2:$G$603,$B219,Transactions!$D$2:$D$603,"Sale",Transactions!$C$2:$C$603,"Q2 26-27")</f>
        <v>0</v>
      </c>
    </row>
    <row r="220" customFormat="false" ht="15" hidden="false" customHeight="true" outlineLevel="0" collapsed="false">
      <c r="B220" s="26" t="str">
        <f aca="false">Stock_Summary!A37</f>
        <v>SBAI</v>
      </c>
      <c r="C220" s="28" t="n">
        <f aca="false">SUMIFS(Transactions!$H$2:$H$603,Transactions!$G$2:$G$603,$B220,Transactions!$D$2:$D$603,"Sale",Transactions!$C$2:$C$603,"Q1 26-27")</f>
        <v>1450</v>
      </c>
      <c r="D220" s="28" t="n">
        <f aca="false">SUMIFS(Transactions!$H$2:$H$603,Transactions!$G$2:$G$603,$B220,Transactions!$D$2:$D$603,"Sale",Transactions!$C$2:$C$603,"Q2 26-27")</f>
        <v>200</v>
      </c>
    </row>
    <row r="221" customFormat="false" ht="15" hidden="false" customHeight="true" outlineLevel="0" collapsed="false">
      <c r="B221" s="26" t="str">
        <f aca="false">Stock_Summary!A38</f>
        <v>FI</v>
      </c>
      <c r="C221" s="28" t="n">
        <f aca="false">SUMIFS(Transactions!$H$2:$H$603,Transactions!$G$2:$G$603,$B221,Transactions!$D$2:$D$603,"Sale",Transactions!$C$2:$C$603,"Q1 26-27")</f>
        <v>475</v>
      </c>
      <c r="D221" s="28" t="n">
        <f aca="false">SUMIFS(Transactions!$H$2:$H$603,Transactions!$G$2:$G$603,$B221,Transactions!$D$2:$D$603,"Sale",Transactions!$C$2:$C$603,"Q2 26-27")</f>
        <v>0</v>
      </c>
    </row>
    <row r="222" customFormat="false" ht="15" hidden="false" customHeight="true" outlineLevel="0" collapsed="false">
      <c r="B222" s="26" t="str">
        <f aca="false">Stock_Summary!A39</f>
        <v>C5I</v>
      </c>
      <c r="C222" s="28" t="n">
        <f aca="false">SUMIFS(Transactions!$H$2:$H$603,Transactions!$G$2:$G$603,$B222,Transactions!$D$2:$D$603,"Sale",Transactions!$C$2:$C$603,"Q1 26-27")</f>
        <v>47</v>
      </c>
      <c r="D222" s="28" t="n">
        <f aca="false">SUMIFS(Transactions!$H$2:$H$603,Transactions!$G$2:$G$603,$B222,Transactions!$D$2:$D$603,"Sale",Transactions!$C$2:$C$603,"Q2 26-27")</f>
        <v>0</v>
      </c>
    </row>
    <row r="223" customFormat="false" ht="15" hidden="false" customHeight="true" outlineLevel="0" collapsed="false">
      <c r="B223" s="26" t="str">
        <f aca="false">Stock_Summary!A40</f>
        <v>ALFI</v>
      </c>
      <c r="C223" s="28" t="n">
        <f aca="false">SUMIFS(Transactions!$H$2:$H$603,Transactions!$G$2:$G$603,$B223,Transactions!$D$2:$D$603,"Sale",Transactions!$C$2:$C$603,"Q1 26-27")</f>
        <v>125</v>
      </c>
      <c r="D223" s="28" t="n">
        <f aca="false">SUMIFS(Transactions!$H$2:$H$603,Transactions!$G$2:$G$603,$B223,Transactions!$D$2:$D$603,"Sale",Transactions!$C$2:$C$603,"Q2 26-27")</f>
        <v>100</v>
      </c>
    </row>
    <row r="224" customFormat="false" ht="15" hidden="false" customHeight="true" outlineLevel="0" collapsed="false">
      <c r="B224" s="26" t="str">
        <f aca="false">Stock_Summary!A41</f>
        <v>DCD</v>
      </c>
      <c r="C224" s="28" t="n">
        <f aca="false">SUMIFS(Transactions!$H$2:$H$603,Transactions!$G$2:$G$603,$B224,Transactions!$D$2:$D$603,"Sale",Transactions!$C$2:$C$603,"Q1 26-27")</f>
        <v>0</v>
      </c>
      <c r="D224" s="28" t="n">
        <f aca="false">SUMIFS(Transactions!$H$2:$H$603,Transactions!$G$2:$G$603,$B224,Transactions!$D$2:$D$603,"Sale",Transactions!$C$2:$C$603,"Q2 26-27")</f>
        <v>0</v>
      </c>
    </row>
    <row r="225" customFormat="false" ht="15" hidden="false" customHeight="true" outlineLevel="0" collapsed="false">
      <c r="B225" s="26" t="str">
        <f aca="false">Stock_Summary!A42</f>
        <v>AM</v>
      </c>
      <c r="C225" s="28" t="n">
        <f aca="false">SUMIFS(Transactions!$H$2:$H$603,Transactions!$G$2:$G$603,$B225,Transactions!$D$2:$D$603,"Sale",Transactions!$C$2:$C$603,"Q1 26-27")</f>
        <v>0</v>
      </c>
      <c r="D225" s="28" t="n">
        <f aca="false">SUMIFS(Transactions!$H$2:$H$603,Transactions!$G$2:$G$603,$B225,Transactions!$D$2:$D$603,"Sale",Transactions!$C$2:$C$603,"Q2 26-27")</f>
        <v>0</v>
      </c>
    </row>
    <row r="226" customFormat="false" ht="15" hidden="false" customHeight="true" outlineLevel="0" collapsed="false">
      <c r="B226" s="26" t="str">
        <f aca="false">Stock_Summary!A43</f>
        <v>NHI</v>
      </c>
      <c r="C226" s="28" t="n">
        <f aca="false">SUMIFS(Transactions!$H$2:$H$603,Transactions!$G$2:$G$603,$B226,Transactions!$D$2:$D$603,"Sale",Transactions!$C$2:$C$603,"Q1 26-27")</f>
        <v>150</v>
      </c>
      <c r="D226" s="28" t="n">
        <f aca="false">SUMIFS(Transactions!$H$2:$H$603,Transactions!$G$2:$G$603,$B226,Transactions!$D$2:$D$603,"Sale",Transactions!$C$2:$C$603,"Q2 26-27")</f>
        <v>0</v>
      </c>
    </row>
    <row r="227" customFormat="false" ht="15" hidden="false" customHeight="true" outlineLevel="0" collapsed="false">
      <c r="B227" s="26" t="str">
        <f aca="false">Stock_Summary!A44</f>
        <v>NSCI</v>
      </c>
      <c r="C227" s="28" t="n">
        <f aca="false">SUMIFS(Transactions!$H$2:$H$603,Transactions!$G$2:$G$603,$B227,Transactions!$D$2:$D$603,"Sale",Transactions!$C$2:$C$603,"Q1 26-27")</f>
        <v>360</v>
      </c>
      <c r="D227" s="28" t="n">
        <f aca="false">SUMIFS(Transactions!$H$2:$H$603,Transactions!$G$2:$G$603,$B227,Transactions!$D$2:$D$603,"Sale",Transactions!$C$2:$C$603,"Q2 26-27")</f>
        <v>120</v>
      </c>
    </row>
    <row r="228" customFormat="false" ht="15" hidden="false" customHeight="true" outlineLevel="0" collapsed="false">
      <c r="B228" s="26" t="str">
        <f aca="false">Stock_Summary!A45</f>
        <v>LA</v>
      </c>
      <c r="C228" s="28" t="n">
        <f aca="false">SUMIFS(Transactions!$H$2:$H$603,Transactions!$G$2:$G$603,$B228,Transactions!$D$2:$D$603,"Sale",Transactions!$C$2:$C$603,"Q1 26-27")</f>
        <v>0</v>
      </c>
      <c r="D228" s="28" t="n">
        <f aca="false">SUMIFS(Transactions!$H$2:$H$603,Transactions!$G$2:$G$603,$B228,Transactions!$D$2:$D$603,"Sale",Transactions!$C$2:$C$603,"Q2 26-27")</f>
        <v>0</v>
      </c>
    </row>
    <row r="229" customFormat="false" ht="15" hidden="false" customHeight="true" outlineLevel="0" collapsed="false">
      <c r="B229" s="26" t="str">
        <f aca="false">Stock_Summary!A46</f>
        <v>FCTI</v>
      </c>
      <c r="C229" s="28" t="n">
        <f aca="false">SUMIFS(Transactions!$H$2:$H$603,Transactions!$G$2:$G$603,$B229,Transactions!$D$2:$D$603,"Sale",Transactions!$C$2:$C$603,"Q1 26-27")</f>
        <v>0</v>
      </c>
      <c r="D229" s="28" t="n">
        <f aca="false">SUMIFS(Transactions!$H$2:$H$603,Transactions!$G$2:$G$603,$B229,Transactions!$D$2:$D$603,"Sale",Transactions!$C$2:$C$603,"Q2 26-27")</f>
        <v>0</v>
      </c>
    </row>
    <row r="230" customFormat="false" ht="15" hidden="false" customHeight="true" outlineLevel="0" collapsed="false">
      <c r="B230" s="26" t="str">
        <f aca="false">Stock_Summary!A47</f>
        <v>FCMI</v>
      </c>
      <c r="C230" s="28" t="n">
        <f aca="false">SUMIFS(Transactions!$H$2:$H$603,Transactions!$G$2:$G$603,$B230,Transactions!$D$2:$D$603,"Sale",Transactions!$C$2:$C$603,"Q1 26-27")</f>
        <v>0</v>
      </c>
      <c r="D230" s="28" t="n">
        <f aca="false">SUMIFS(Transactions!$H$2:$H$603,Transactions!$G$2:$G$603,$B230,Transactions!$D$2:$D$603,"Sale",Transactions!$C$2:$C$603,"Q2 26-27")</f>
        <v>0</v>
      </c>
    </row>
    <row r="231" customFormat="false" ht="15" hidden="false" customHeight="true" outlineLevel="0" collapsed="false">
      <c r="B231" s="26" t="str">
        <f aca="false">Stock_Summary!A48</f>
        <v>WTI</v>
      </c>
      <c r="C231" s="28" t="n">
        <f aca="false">SUMIFS(Transactions!$H$2:$H$603,Transactions!$G$2:$G$603,$B231,Transactions!$D$2:$D$603,"Sale",Transactions!$C$2:$C$603,"Q1 26-27")</f>
        <v>2</v>
      </c>
      <c r="D231" s="28" t="n">
        <f aca="false">SUMIFS(Transactions!$H$2:$H$603,Transactions!$G$2:$G$603,$B231,Transactions!$D$2:$D$603,"Sale",Transactions!$C$2:$C$603,"Q2 26-27")</f>
        <v>0</v>
      </c>
    </row>
    <row r="232" customFormat="false" ht="15" hidden="false" customHeight="true" outlineLevel="0" collapsed="false">
      <c r="B232" s="26" t="str">
        <f aca="false">Stock_Summary!A49</f>
        <v>FD</v>
      </c>
      <c r="C232" s="28" t="n">
        <f aca="false">SUMIFS(Transactions!$H$2:$H$603,Transactions!$G$2:$G$603,$B232,Transactions!$D$2:$D$603,"Sale",Transactions!$C$2:$C$603,"Q1 26-27")</f>
        <v>25</v>
      </c>
      <c r="D232" s="28" t="n">
        <f aca="false">SUMIFS(Transactions!$H$2:$H$603,Transactions!$G$2:$G$603,$B232,Transactions!$D$2:$D$603,"Sale",Transactions!$C$2:$C$603,"Q2 26-27")</f>
        <v>0</v>
      </c>
    </row>
    <row r="233" customFormat="false" ht="15" hidden="false" customHeight="true" outlineLevel="0" collapsed="false">
      <c r="B233" s="26" t="str">
        <f aca="false">Stock_Summary!A50</f>
        <v>RPN</v>
      </c>
      <c r="C233" s="28" t="n">
        <f aca="false">SUMIFS(Transactions!$H$2:$H$603,Transactions!$G$2:$G$603,$B233,Transactions!$D$2:$D$603,"Sale",Transactions!$C$2:$C$603,"Q1 26-27")</f>
        <v>0</v>
      </c>
      <c r="D233" s="28" t="n">
        <f aca="false">SUMIFS(Transactions!$H$2:$H$603,Transactions!$G$2:$G$603,$B233,Transactions!$D$2:$D$603,"Sale",Transactions!$C$2:$C$603,"Q2 26-27")</f>
        <v>0</v>
      </c>
    </row>
    <row r="234" customFormat="false" ht="15" hidden="false" customHeight="true" outlineLevel="0" collapsed="false">
      <c r="B234" s="26" t="str">
        <f aca="false">Stock_Summary!A51</f>
        <v>OX90</v>
      </c>
      <c r="C234" s="28" t="n">
        <f aca="false">SUMIFS(Transactions!$H$2:$H$603,Transactions!$G$2:$G$603,$B234,Transactions!$D$2:$D$603,"Sale",Transactions!$C$2:$C$603,"Q1 26-27")</f>
        <v>0</v>
      </c>
      <c r="D234" s="28" t="n">
        <f aca="false">SUMIFS(Transactions!$H$2:$H$603,Transactions!$G$2:$G$603,$B234,Transactions!$D$2:$D$603,"Sale",Transactions!$C$2:$C$603,"Q2 26-27")</f>
        <v>0</v>
      </c>
    </row>
    <row r="235" customFormat="false" ht="15" hidden="false" customHeight="true" outlineLevel="0" collapsed="false">
      <c r="B235" s="26" t="str">
        <f aca="false">Stock_Summary!A52</f>
        <v>RP7</v>
      </c>
      <c r="C235" s="28" t="n">
        <f aca="false">SUMIFS(Transactions!$H$2:$H$603,Transactions!$G$2:$G$603,$B235,Transactions!$D$2:$D$603,"Sale",Transactions!$C$2:$C$603,"Q1 26-27")</f>
        <v>0</v>
      </c>
      <c r="D235" s="28" t="n">
        <f aca="false">SUMIFS(Transactions!$H$2:$H$603,Transactions!$G$2:$G$603,$B235,Transactions!$D$2:$D$603,"Sale",Transactions!$C$2:$C$603,"Q2 26-27")</f>
        <v>0</v>
      </c>
    </row>
    <row r="236" customFormat="false" ht="15" hidden="false" customHeight="true" outlineLevel="0" collapsed="false">
      <c r="B236" s="26" t="str">
        <f aca="false">Stock_Summary!A53</f>
        <v>MDI</v>
      </c>
      <c r="C236" s="28" t="n">
        <f aca="false">SUMIFS(Transactions!$H$2:$H$603,Transactions!$G$2:$G$603,$B236,Transactions!$D$2:$D$603,"Sale",Transactions!$C$2:$C$603,"Q1 26-27")</f>
        <v>0</v>
      </c>
      <c r="D236" s="28" t="n">
        <f aca="false">SUMIFS(Transactions!$H$2:$H$603,Transactions!$G$2:$G$603,$B236,Transactions!$D$2:$D$603,"Sale",Transactions!$C$2:$C$603,"Q2 26-27")</f>
        <v>0</v>
      </c>
    </row>
    <row r="237" customFormat="false" ht="15" hidden="false" customHeight="true" outlineLevel="0" collapsed="false">
      <c r="B237" s="26" t="str">
        <f aca="false">Stock_Summary!A54</f>
        <v>KI</v>
      </c>
      <c r="C237" s="28" t="n">
        <f aca="false">SUMIFS(Transactions!$H$2:$H$603,Transactions!$G$2:$G$603,$B237,Transactions!$D$2:$D$603,"Sale",Transactions!$C$2:$C$603,"Q1 26-27")</f>
        <v>0</v>
      </c>
      <c r="D237" s="28" t="n">
        <f aca="false">SUMIFS(Transactions!$H$2:$H$603,Transactions!$G$2:$G$603,$B237,Transactions!$D$2:$D$603,"Sale",Transactions!$C$2:$C$603,"Q2 26-27")</f>
        <v>0</v>
      </c>
    </row>
    <row r="238" customFormat="false" ht="15" hidden="false" customHeight="true" outlineLevel="0" collapsed="false">
      <c r="B238" s="26" t="str">
        <f aca="false">Stock_Summary!A55</f>
        <v>XNB 900</v>
      </c>
      <c r="C238" s="28" t="n">
        <f aca="false">SUMIFS(Transactions!$H$2:$H$603,Transactions!$G$2:$G$603,$B238,Transactions!$D$2:$D$603,"Sale",Transactions!$C$2:$C$603,"Q1 26-27")</f>
        <v>1606</v>
      </c>
      <c r="D238" s="28" t="n">
        <f aca="false">SUMIFS(Transactions!$H$2:$H$603,Transactions!$G$2:$G$603,$B238,Transactions!$D$2:$D$603,"Sale",Transactions!$C$2:$C$603,"Q2 26-27")</f>
        <v>574</v>
      </c>
    </row>
    <row r="239" customFormat="false" ht="15" hidden="false" customHeight="true" outlineLevel="0" collapsed="false">
      <c r="B239" s="26" t="str">
        <f aca="false">Stock_Summary!A56</f>
        <v>CWET</v>
      </c>
      <c r="C239" s="28" t="n">
        <f aca="false">SUMIFS(Transactions!$H$2:$H$603,Transactions!$G$2:$G$603,$B239,Transactions!$D$2:$D$603,"Sale",Transactions!$C$2:$C$603,"Q1 26-27")</f>
        <v>74</v>
      </c>
      <c r="D239" s="28" t="n">
        <f aca="false">SUMIFS(Transactions!$H$2:$H$603,Transactions!$G$2:$G$603,$B239,Transactions!$D$2:$D$603,"Sale",Transactions!$C$2:$C$603,"Q2 26-27")</f>
        <v>0</v>
      </c>
    </row>
  </sheetData>
  <conditionalFormatting sqref="N9:N63">
    <cfRule type="cellIs" priority="2" operator="equal" aboveAverage="0" equalAverage="0" bottom="0" percent="0" rank="0" text="" dxfId="9">
      <formula>"DEAD STOCK"</formula>
    </cfRule>
    <cfRule type="cellIs" priority="3" operator="equal" aboveAverage="0" equalAverage="0" bottom="0" percent="0" rank="0" text="" dxfId="10">
      <formula>"SLOW MOVING"</formula>
    </cfRule>
  </conditionalFormatting>
  <conditionalFormatting sqref="F9:F63">
    <cfRule type="cellIs" priority="4" operator="equal" aboveAverage="0" equalAverage="0" bottom="0" percent="0" rank="0" text="" dxfId="11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2026-07-16T06:33:53Z</dcterms:created>
  <dc:creator>openpyxl</dc:creator>
  <dc:description/>
  <dc:language>en-US</dc:language>
  <cp:lastModifiedBy/>
  <dcterms:modified xsi:type="dcterms:W3CDTF">2026-07-16T10:04:47Z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